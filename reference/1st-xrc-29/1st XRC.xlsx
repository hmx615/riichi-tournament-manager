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1st XRC" sheetId="1" r:id="rId3"/>
    <sheet name="XXC" sheetId="2" r:id="rId4"/>
  </sheets>
  <calcPr calcMode="auto" fullCalcOnLoad="1" forceFullCalc="1"/>
</workbook>
</file>

<file path=xl/sharedStrings.xml><?xml version="1.0" encoding="utf-8"?>
<sst xmlns="http://schemas.openxmlformats.org/spreadsheetml/2006/main" count="35" uniqueCount="35">
  <si>
    <t/>
  </si>
  <si>
    <t>Recorded Matches</t>
  </si>
  <si>
    <t>Stats of  The 1st X's Renovation Cup</t>
  </si>
  <si>
    <t>Average Rank</t>
  </si>
  <si>
    <t>Current Point</t>
  </si>
  <si>
    <t>Player</t>
  </si>
  <si>
    <t>何明轩</t>
  </si>
  <si>
    <t>松尾 暮輝</t>
  </si>
  <si>
    <t>鄂子懿</t>
  </si>
  <si>
    <t>御華 雅弥</t>
  </si>
  <si>
    <t>彭虹清</t>
  </si>
  <si>
    <t>江口 瞬</t>
  </si>
  <si>
    <t>吴东杰</t>
  </si>
  <si>
    <t>東野 猛</t>
  </si>
  <si>
    <t>Reviewer Screening</t>
  </si>
  <si>
    <t>Valid</t>
  </si>
  <si>
    <t>If Valid</t>
  </si>
  <si>
    <t>アバリジ</t>
  </si>
  <si>
    <t>明轩</t>
  </si>
  <si>
    <t>ニシキ</t>
  </si>
  <si>
    <t>カガシ</t>
  </si>
  <si>
    <t>子懿</t>
  </si>
  <si>
    <t>虹清</t>
  </si>
  <si>
    <t>东杰</t>
  </si>
  <si>
    <t>hmx</t>
  </si>
  <si>
    <t>ezy</t>
  </si>
  <si>
    <t>phq</t>
  </si>
  <si>
    <t>wdj</t>
  </si>
  <si>
    <t>Stats of Xuanxuan Cup 2026</t>
  </si>
  <si>
    <t>xuanxuan</t>
  </si>
  <si>
    <t>xiaop</t>
  </si>
  <si>
    <t>nagaカガシ</t>
  </si>
  <si>
    <t>Mortal 4.1b</t>
  </si>
  <si>
    <t>モータル</t>
  </si>
  <si>
    <t>naga</t>
  </si>
</sst>
</file>

<file path=xl/styles.xml><?xml version="1.0" encoding="utf-8"?>
<styleSheet xmlns="http://schemas.openxmlformats.org/spreadsheetml/2006/main">
  <numFmts count="2">
    <numFmt numFmtId="300" formatCode="0.00_);[Red]\(0.00\)"/>
    <numFmt numFmtId="301" formatCode="m&quot;月&quot;d&quot;日&quot;;@"/>
  </numFmts>
  <fonts count="11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1"/>
    </font>
    <font>
      <b val="1"/>
      <sz val="11"/>
    </font>
    <font>
      <sz val="9"/>
    </font>
    <font/>
    <font>
      <b val="1"/>
      <sz val="10"/>
    </font>
    <font>
      <b val="1"/>
    </font>
    <font>
      <b val="1"/>
    </font>
    <font>
      <sz val="10"/>
    </font>
  </fonts>
  <fills count="16">
    <fill>
      <patternFill patternType="none"/>
    </fill>
    <fill>
      <patternFill patternType="gray125"/>
    </fill>
    <fill>
      <patternFill/>
    </fill>
    <fill>
      <patternFill patternType="solid">
        <fgColor rgb="FFBDD7EE"/>
        <bgColor rgb="FF000000"/>
      </patternFill>
    </fill>
    <fill>
      <patternFill patternType="solid">
        <fgColor rgb="FFFDEBFF"/>
        <bgColor auto="1"/>
      </patternFill>
    </fill>
    <fill>
      <patternFill patternType="solid">
        <fgColor rgb="FFFFE9E8"/>
        <bgColor auto="1"/>
      </patternFill>
    </fill>
    <fill/>
    <fill/>
    <fill>
      <patternFill patternType="solid">
        <fgColor rgb="FFEAFAF1"/>
        <bgColor auto="1"/>
      </patternFill>
    </fill>
    <fill>
      <patternFill patternType="solid">
        <fgColor rgb="FFFDEBFF"/>
      </patternFill>
    </fill>
    <fill>
      <patternFill patternType="solid">
        <fgColor rgb="FFFDEBFF"/>
      </patternFill>
    </fill>
    <fill>
      <patternFill patternType="solid">
        <fgColor rgb="FFC7ECFF"/>
      </patternFill>
    </fill>
    <fill>
      <patternFill patternType="solid">
        <fgColor rgb="FFC7ECFF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BDD7EE"/>
        <bgColor rgb="FF000000"/>
      </patternFill>
    </fill>
  </fills>
  <borders count="27">
    <border>
      <left/>
      <right/>
      <top/>
      <bottom/>
      <diagonal/>
    </border>
    <border diagonalUp="1" diagonalDown="1">
      <left/>
      <right/>
      <top/>
      <bottom/>
      <diagonal/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/>
    <border>
      <left/>
      <right/>
      <top/>
      <bottom/>
    </border>
    <border>
      <right/>
      <top/>
      <bottom/>
    </border>
    <border>
      <left/>
      <right/>
      <top/>
    </border>
    <border>
      <left/>
      <right/>
      <bottom/>
    </border>
  </borders>
  <cellStyleXfs>
    <xf numFmtId="0" fontId="0" fillId="0" borderId="0" xfId="0">
      <alignment vertical="center"/>
    </xf>
  </cellStyleXfs>
  <cellXfs count="11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1" xfId="0">
      <alignment vertical="center"/>
    </xf>
    <xf fontId="3" fillId="0" borderId="0" xfId="0">
      <alignment horizontal="center" vertical="center"/>
    </xf>
    <xf fontId="4" fillId="3" borderId="2" xfId="0">
      <alignment horizontal="center" vertical="center" wrapText="1"/>
    </xf>
    <xf fontId="4" fillId="3" borderId="3" xfId="0">
      <alignment horizontal="center" vertical="center" wrapText="1"/>
    </xf>
    <xf numFmtId="0" fontId="4" fillId="3" borderId="3" xfId="0">
      <alignment horizontal="center" vertical="center" wrapText="1"/>
    </xf>
    <xf fontId="0" fillId="0" borderId="4" xfId="0">
      <alignment vertical="center"/>
    </xf>
    <xf fontId="0" fillId="0" borderId="5" xfId="0">
      <alignment vertical="center"/>
    </xf>
    <xf numFmtId="0" fontId="4" fillId="3" borderId="6" xfId="0">
      <alignment horizontal="center" vertical="center" wrapText="1"/>
    </xf>
    <xf fontId="0" fillId="0" borderId="7" xfId="0">
      <alignment vertical="center"/>
    </xf>
    <xf fontId="4" fillId="4" borderId="8" xfId="0">
      <alignment horizontal="center" vertical="center" wrapText="1"/>
    </xf>
    <xf fontId="4" fillId="5" borderId="8" xfId="0">
      <alignment horizontal="center" vertical="center" wrapText="1"/>
    </xf>
    <xf fontId="4" fillId="3" borderId="9" xfId="0">
      <alignment horizontal="center" vertical="center" wrapText="1"/>
    </xf>
    <xf fontId="4" fillId="3" borderId="10" xfId="0">
      <alignment horizontal="center" vertical="center" wrapText="1"/>
    </xf>
    <xf fontId="4" fillId="3" borderId="8" xfId="0">
      <alignment horizontal="center" vertical="center" wrapText="1"/>
    </xf>
    <xf fontId="4" fillId="3" borderId="11" xfId="0">
      <alignment horizontal="center" vertical="center" wrapText="1"/>
    </xf>
    <xf fontId="4" fillId="3" borderId="12" xfId="0">
      <alignment horizontal="center" vertical="center" wrapText="1"/>
    </xf>
    <xf numFmtId="0" fontId="3" fillId="0" borderId="0" xfId="0">
      <alignment horizontal="center" vertical="center"/>
    </xf>
    <xf numFmtId="300" fontId="4" fillId="4" borderId="13" xfId="0">
      <alignment horizontal="center" vertical="center" wrapText="1"/>
    </xf>
    <xf numFmtId="0" fontId="4" fillId="5" borderId="14" xfId="0">
      <alignment horizontal="center" vertical="center" wrapText="1"/>
    </xf>
    <xf numFmtId="0" fontId="5" fillId="6" borderId="1" xfId="0">
      <alignment horizontal="center" vertical="center" wrapText="0"/>
    </xf>
    <xf numFmtId="0" fontId="5" fillId="0" borderId="0" xfId="0">
      <alignment horizontal="center" vertical="center" wrapText="0"/>
    </xf>
    <xf fontId="3" fillId="6" borderId="1" xfId="0">
      <alignment horizontal="center" vertical="center"/>
    </xf>
    <xf fontId="3" fillId="6" borderId="1" xfId="0">
      <alignment horizontal="center" vertical="center"/>
    </xf>
    <xf fontId="6" fillId="6" borderId="1" xfId="0">
      <alignment horizontal="center" vertical="center"/>
    </xf>
    <xf fontId="6" fillId="7" borderId="1" xfId="0">
      <alignment horizontal="center" vertical="center"/>
    </xf>
    <xf fontId="5" fillId="6" borderId="1" xfId="0">
      <alignment horizontal="center" vertical="center" wrapText="0"/>
    </xf>
    <xf numFmtId="300" fontId="4" fillId="4" borderId="15" xfId="0">
      <alignment horizontal="center" vertical="center" wrapText="1"/>
    </xf>
    <xf numFmtId="0" fontId="4" fillId="5" borderId="16" xfId="0">
      <alignment horizontal="center" vertical="center" wrapText="1"/>
    </xf>
    <xf numFmtId="300" fontId="4" fillId="4" borderId="17" xfId="0">
      <alignment horizontal="center" vertical="center" wrapText="1"/>
    </xf>
    <xf numFmtId="0" fontId="4" fillId="5" borderId="18" xfId="0">
      <alignment horizontal="center" vertical="center" wrapText="1"/>
    </xf>
    <xf fontId="4" fillId="3" borderId="19" xfId="0">
      <alignment horizontal="center" vertical="center" wrapText="1"/>
    </xf>
    <xf fontId="7" fillId="0" borderId="0" xfId="0">
      <alignment horizontal="center" vertical="center"/>
    </xf>
    <xf fontId="7" fillId="8" borderId="12" xfId="0">
      <alignment horizontal="center" vertical="center" wrapText="1"/>
    </xf>
    <xf fontId="7" fillId="8" borderId="20" xfId="0">
      <alignment horizontal="center" vertical="center" wrapText="1"/>
    </xf>
    <xf fontId="7" fillId="3" borderId="19" xfId="0">
      <alignment horizontal="center" vertical="center" wrapText="1"/>
    </xf>
    <xf numFmtId="301" fontId="7" fillId="3" borderId="10" xfId="0">
      <alignment horizontal="center" vertical="center" wrapText="1"/>
    </xf>
    <xf fontId="7" fillId="3" borderId="10" xfId="0">
      <alignment horizontal="center" vertical="center" wrapText="1"/>
    </xf>
    <xf fontId="7" fillId="3" borderId="8" xfId="0">
      <alignment horizontal="center" vertical="center" wrapText="1"/>
    </xf>
    <xf fontId="7" fillId="3" borderId="21" xfId="0">
      <alignment horizontal="center" vertical="center" wrapText="1"/>
    </xf>
    <xf fontId="8" fillId="2" borderId="1" xfId="0">
      <alignment vertical="center"/>
    </xf>
    <xf fontId="3" fillId="0" borderId="22" xfId="0">
      <alignment horizontal="center" vertical="center"/>
    </xf>
    <xf fontId="3" fillId="9" borderId="0" xfId="0">
      <alignment horizontal="center" vertical="center"/>
    </xf>
    <xf fontId="8" fillId="10" borderId="0" xfId="0">
      <alignment horizontal="center" vertical="center"/>
    </xf>
    <xf fontId="3" fillId="9" borderId="0" xfId="0">
      <alignment horizontal="center" vertical="center"/>
    </xf>
    <xf fontId="3" fillId="7" borderId="0" xfId="0">
      <alignment horizontal="center" vertical="center"/>
    </xf>
    <xf fontId="3" fillId="11" borderId="23" xfId="0">
      <alignment horizontal="center" vertical="center"/>
    </xf>
    <xf fontId="8" fillId="0" borderId="0" xfId="0">
      <alignment horizontal="center" vertical="center"/>
    </xf>
    <xf fontId="3" fillId="0" borderId="0" xfId="0">
      <alignment horizontal="center" vertical="center"/>
    </xf>
    <xf fontId="3" fillId="12" borderId="0" xfId="0">
      <alignment horizontal="center" vertical="center"/>
    </xf>
    <xf fontId="3" fillId="0" borderId="0" xfId="0">
      <alignment horizontal="center" vertical="center"/>
    </xf>
    <xf fontId="8" fillId="0" borderId="0" xfId="0">
      <alignment horizontal="center" vertical="center"/>
    </xf>
    <xf fontId="3" fillId="11" borderId="23" xfId="0">
      <alignment horizontal="center" vertical="center"/>
    </xf>
    <xf fontId="3" fillId="0" borderId="0" xfId="0">
      <alignment horizontal="center" vertical="center"/>
    </xf>
    <xf fontId="9" fillId="0" borderId="0" xfId="0">
      <alignment horizontal="center" vertical="center"/>
    </xf>
    <xf fontId="3" fillId="6" borderId="23" xfId="0">
      <alignment horizontal="center" vertical="center"/>
    </xf>
    <xf fontId="3" fillId="6" borderId="24" xfId="0">
      <alignment horizontal="center" vertical="center"/>
    </xf>
    <xf fontId="3" fillId="12" borderId="0" xfId="0">
      <alignment horizontal="center" vertical="center"/>
    </xf>
    <xf fontId="3" fillId="7" borderId="23" xfId="0">
      <alignment horizontal="center" vertical="center"/>
    </xf>
    <xf fontId="3" fillId="12" borderId="23" xfId="0">
      <alignment horizontal="center" vertical="center"/>
    </xf>
    <xf fontId="3" fillId="12" borderId="23" xfId="0">
      <alignment horizontal="center" vertical="center"/>
    </xf>
    <xf fontId="3" fillId="12" borderId="22" xfId="0">
      <alignment horizontal="center" vertical="center"/>
    </xf>
    <xf fontId="3" fillId="12" borderId="22" xfId="0">
      <alignment horizontal="center" vertical="center"/>
    </xf>
    <xf fontId="3" fillId="7" borderId="22" xfId="0">
      <alignment horizontal="center" vertical="center"/>
    </xf>
    <xf fontId="4" fillId="13" borderId="9" xfId="0">
      <alignment horizontal="center" vertical="center" wrapText="1"/>
    </xf>
    <xf fontId="3" fillId="7" borderId="25" xfId="0">
      <alignment horizontal="center" vertical="center"/>
    </xf>
    <xf fontId="4" fillId="14" borderId="9" xfId="0">
      <alignment horizontal="center" vertical="center" wrapText="1"/>
    </xf>
    <xf fontId="4" fillId="15" borderId="9" xfId="0">
      <alignment horizontal="center" vertical="center" wrapText="1"/>
    </xf>
    <xf fontId="4" fillId="15" borderId="10" xfId="0">
      <alignment horizontal="center" vertical="center" wrapText="1"/>
    </xf>
    <xf fontId="3" fillId="7" borderId="23" xfId="0">
      <alignment horizontal="center" vertical="center"/>
    </xf>
    <xf fontId="4" fillId="15" borderId="11" xfId="0">
      <alignment horizontal="center" vertical="center" wrapText="1"/>
    </xf>
    <xf fontId="3" fillId="7" borderId="26" xfId="0">
      <alignment horizontal="center" vertical="center"/>
    </xf>
    <xf fontId="4" fillId="15" borderId="19" xfId="0">
      <alignment horizontal="center" vertical="center" wrapText="1"/>
    </xf>
    <xf fontId="3" fillId="2" borderId="1" xfId="0">
      <alignment vertical="center"/>
    </xf>
    <xf fontId="4" fillId="3" borderId="2" xfId="0">
      <alignment horizontal="center" vertical="center" wrapText="1"/>
    </xf>
    <xf fontId="4" fillId="3" borderId="3" xfId="0">
      <alignment horizontal="center" vertical="center" wrapText="1"/>
    </xf>
    <xf fontId="0" fillId="0" borderId="4" xfId="0">
      <alignment vertical="center"/>
    </xf>
    <xf fontId="0" fillId="0" borderId="5" xfId="0">
      <alignment vertical="center"/>
    </xf>
    <xf fontId="0" fillId="0" borderId="7" xfId="0">
      <alignment vertical="center"/>
    </xf>
    <xf fontId="4" fillId="4" borderId="8" xfId="0">
      <alignment horizontal="center" vertical="center" wrapText="1"/>
    </xf>
    <xf fontId="4" fillId="5" borderId="8" xfId="0">
      <alignment horizontal="center" vertical="center" wrapText="1"/>
    </xf>
    <xf fontId="4" fillId="3" borderId="9" xfId="0">
      <alignment horizontal="center" vertical="center" wrapText="1"/>
    </xf>
    <xf fontId="4" fillId="3" borderId="10" xfId="0">
      <alignment horizontal="center" vertical="center" wrapText="1"/>
    </xf>
    <xf fontId="4" fillId="3" borderId="8" xfId="0">
      <alignment horizontal="center" vertical="center" wrapText="1"/>
    </xf>
    <xf fontId="4" fillId="3" borderId="11" xfId="0">
      <alignment horizontal="center" vertical="center" wrapText="1"/>
    </xf>
    <xf fontId="4" fillId="3" borderId="12" xfId="0">
      <alignment horizontal="center" vertical="center" wrapText="1"/>
    </xf>
    <xf numFmtId="0" fontId="3" fillId="0" borderId="0" xfId="0">
      <alignment horizontal="center" vertical="center"/>
    </xf>
    <xf numFmtId="0" fontId="5" fillId="0" borderId="0" xfId="0">
      <alignment horizontal="center" vertical="center" wrapText="0"/>
    </xf>
    <xf numFmtId="0" fontId="5" fillId="7" borderId="1" xfId="0">
      <alignment horizontal="center" vertical="center" wrapText="0"/>
    </xf>
    <xf numFmtId="0" fontId="5" fillId="0" borderId="1" xfId="0">
      <alignment horizontal="center" vertical="center" wrapText="0"/>
    </xf>
    <xf fontId="4" fillId="3" borderId="19" xfId="0">
      <alignment horizontal="center" vertical="center" wrapText="1"/>
    </xf>
    <xf fontId="7" fillId="0" borderId="0" xfId="0">
      <alignment horizontal="center" vertical="center"/>
    </xf>
    <xf fontId="7" fillId="8" borderId="12" xfId="0">
      <alignment horizontal="center" vertical="center" wrapText="1"/>
    </xf>
    <xf fontId="7" fillId="8" borderId="20" xfId="0">
      <alignment horizontal="center" vertical="center" wrapText="1"/>
    </xf>
    <xf fontId="7" fillId="3" borderId="19" xfId="0">
      <alignment horizontal="center" vertical="center" wrapText="1"/>
    </xf>
    <xf fontId="7" fillId="3" borderId="8" xfId="0">
      <alignment horizontal="center" vertical="center" wrapText="1"/>
    </xf>
    <xf fontId="7" fillId="3" borderId="10" xfId="0">
      <alignment horizontal="center" vertical="center" wrapText="1"/>
    </xf>
    <xf fontId="7" fillId="3" borderId="21" xfId="0">
      <alignment horizontal="center" vertical="center" wrapText="1"/>
    </xf>
    <xf fontId="8" fillId="2" borderId="1" xfId="0">
      <alignment vertical="center"/>
    </xf>
    <xf fontId="3" fillId="12" borderId="0" xfId="0">
      <alignment horizontal="center" vertical="center"/>
    </xf>
    <xf fontId="8" fillId="6" borderId="0" xfId="0">
      <alignment horizontal="center" vertical="center"/>
    </xf>
    <xf fontId="3" fillId="6" borderId="23" xfId="0">
      <alignment horizontal="center" vertical="center"/>
    </xf>
    <xf fontId="3" fillId="6" borderId="24" xfId="0">
      <alignment horizontal="center" vertical="center"/>
    </xf>
    <xf fontId="4" fillId="13" borderId="9" xfId="0">
      <alignment horizontal="center" vertical="center" wrapText="1"/>
    </xf>
    <xf fontId="4" fillId="14" borderId="9" xfId="0">
      <alignment horizontal="center" vertical="center" wrapText="1"/>
    </xf>
    <xf fontId="4" fillId="15" borderId="9" xfId="0">
      <alignment horizontal="center" vertical="center" wrapText="1"/>
    </xf>
    <xf fontId="4" fillId="15" borderId="10" xfId="0">
      <alignment horizontal="center" vertical="center" wrapText="1"/>
    </xf>
    <xf fontId="4" fillId="15" borderId="11" xfId="0">
      <alignment horizontal="center" vertical="center" wrapText="1"/>
    </xf>
    <xf fontId="4" fillId="15" borderId="19" xfId="0">
      <alignment horizontal="center" vertical="center" wrapText="1"/>
    </xf>
    <xf fontId="5" fillId="7" borderId="0" xfId="0">
      <alignment horizontal="center" vertical="center" wrapText="0"/>
    </xf>
    <xf numFmtId="0" fontId="5" fillId="7" borderId="0" xfId="0">
      <alignment horizontal="center" vertical="center" wrapText="0"/>
    </xf>
    <xf fontId="10" fillId="0" borderId="0" xfId="0">
      <alignment vertical="center"/>
    </xf>
    <xf fontId="0" fillId="14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1st XRC">
    <tabColor/>
  </sheetPr>
  <dimension ref="BE295"/>
  <sheetViews>
    <sheetView showGridLines="1" rightToLeft="0" workbookViewId="0"/>
  </sheetViews>
  <sheetFormatPr baseColWidth="13" defaultRowHeight="18" customHeight="1"/>
  <cols>
    <col min="1" max="2" width="1.34375" style="56" hidden="1" customWidth="1"/>
    <col min="3" max="3" width="1.34375" style="56" customWidth="1"/>
    <col min="4" max="4" width="12.1406" style="56" customWidth="1"/>
    <col min="5" max="5" width="10.793" style="56" customWidth="1"/>
    <col min="6" max="6" width="10.6523" style="56" customWidth="1"/>
    <col min="7" max="9" width="8.22266" style="56" customWidth="1"/>
    <col min="10" max="10" width="9.17188" style="56" customWidth="1"/>
    <col min="11" max="15" width="8.22266" style="56" customWidth="1"/>
    <col min="16" max="16" width="7.33203" style="56" customWidth="1"/>
    <col min="17" max="18" width="8.22266" style="56" customWidth="1"/>
    <col min="19" max="19" width="7.55078" style="56" customWidth="1"/>
    <col min="20" max="52" width="8.22266" style="56" customWidth="1"/>
    <col min="53" max="53" width="8.36328" style="56" customWidth="1"/>
    <col min="54" max="56" width="8.22266" style="56" customWidth="1"/>
    <col min="57" max="57" width="12.0039" style="56" customWidth="1"/>
  </cols>
  <sheetData>
    <row r="1" spans="7:57" ht="30" customHeight="1">
      <c r="G1" s="4" t="s"/>
      <c r="BE1" s="5" t="s"/>
    </row>
    <row r="2" spans="4:57" ht="30" customHeight="1">
      <c r="D2" s="6" t="s">
        <v>1</v>
      </c>
      <c r="E2" s="7">
        <v>9</v>
      </c>
      <c r="F2" s="8" t="s">
        <v>2</v>
      </c>
      <c r="G2" s="9" t="s"/>
      <c r="H2" s="9" t="s"/>
      <c r="I2" s="9" t="s"/>
      <c r="J2" s="9" t="s"/>
      <c r="K2" s="9" t="s"/>
      <c r="L2" s="9" t="s"/>
      <c r="M2" s="9" t="s"/>
      <c r="N2" s="9" t="s"/>
      <c r="O2" s="9" t="s"/>
      <c r="P2" s="9" t="s"/>
      <c r="Q2" s="9" t="s"/>
      <c r="R2" s="9" t="s"/>
      <c r="S2" s="9" t="s"/>
      <c r="T2" s="9" t="s"/>
      <c r="U2" s="9" t="s"/>
      <c r="V2" s="9" t="s"/>
      <c r="W2" s="9" t="s"/>
      <c r="X2" s="9" t="s"/>
      <c r="Y2" s="9" t="s"/>
      <c r="Z2" s="10" t="s"/>
      <c r="AA2" s="11" t="s"/>
      <c r="AB2" s="9" t="s"/>
      <c r="AC2" s="9" t="s"/>
      <c r="AD2" s="9" t="s"/>
      <c r="AE2" s="9" t="s"/>
      <c r="AF2" s="9" t="s"/>
      <c r="AG2" s="9" t="s"/>
      <c r="AH2" s="9" t="s"/>
      <c r="AI2" s="9" t="s"/>
      <c r="AJ2" s="9" t="s"/>
      <c r="AK2" s="9" t="s"/>
      <c r="AL2" s="9" t="s"/>
      <c r="AM2" s="9" t="s"/>
      <c r="AN2" s="9" t="s"/>
      <c r="AO2" s="9" t="s"/>
      <c r="AP2" s="9" t="s"/>
      <c r="AQ2" s="9" t="s"/>
      <c r="AR2" s="9" t="s"/>
      <c r="AS2" s="9" t="s"/>
      <c r="AT2" s="9" t="s"/>
      <c r="AU2" s="9" t="s"/>
      <c r="AV2" s="12" t="s"/>
      <c r="AW2" s="12" t="s"/>
      <c r="AX2" s="12" t="s"/>
      <c r="AY2" s="12" t="s"/>
      <c r="AZ2" s="12" t="s"/>
      <c r="BA2" s="12" t="s"/>
      <c r="BB2" s="12" t="s"/>
      <c r="BC2" s="12" t="s"/>
      <c r="BD2" s="12" t="s"/>
      <c r="BE2" s="10" t="s"/>
    </row>
    <row r="3" spans="4:57" ht="30" customHeight="1">
      <c r="D3" s="13" t="s">
        <v>3</v>
      </c>
      <c r="E3" s="14" t="s">
        <v>4</v>
      </c>
      <c r="F3" s="15" t="s">
        <v>5</v>
      </c>
      <c r="G3" s="16">
        <v>1</v>
      </c>
      <c r="H3" s="16">
        <v>2</v>
      </c>
      <c r="I3" s="16">
        <v>3</v>
      </c>
      <c r="J3" s="16">
        <v>4</v>
      </c>
      <c r="K3" s="16">
        <v>5</v>
      </c>
      <c r="L3" s="16">
        <v>6</v>
      </c>
      <c r="M3" s="16">
        <v>7</v>
      </c>
      <c r="N3" s="16">
        <v>8</v>
      </c>
      <c r="O3" s="16">
        <v>9</v>
      </c>
      <c r="P3" s="17">
        <v>10</v>
      </c>
      <c r="Q3" s="16">
        <v>11</v>
      </c>
      <c r="R3" s="16">
        <v>12</v>
      </c>
      <c r="S3" s="16">
        <v>13</v>
      </c>
      <c r="T3" s="16">
        <v>14</v>
      </c>
      <c r="U3" s="16">
        <v>15</v>
      </c>
      <c r="V3" s="16">
        <v>16</v>
      </c>
      <c r="W3" s="16">
        <v>17</v>
      </c>
      <c r="X3" s="16">
        <v>18</v>
      </c>
      <c r="Y3" s="16">
        <v>19</v>
      </c>
      <c r="Z3" s="17">
        <v>20</v>
      </c>
      <c r="AA3" s="16">
        <v>21</v>
      </c>
      <c r="AB3" s="16">
        <v>22</v>
      </c>
      <c r="AC3" s="16">
        <v>23</v>
      </c>
      <c r="AD3" s="16">
        <v>24</v>
      </c>
      <c r="AE3" s="16">
        <v>25</v>
      </c>
      <c r="AF3" s="16">
        <v>26</v>
      </c>
      <c r="AG3" s="16">
        <v>27</v>
      </c>
      <c r="AH3" s="16">
        <v>28</v>
      </c>
      <c r="AI3" s="16">
        <v>29</v>
      </c>
      <c r="AJ3" s="17">
        <v>30</v>
      </c>
      <c r="AK3" s="16">
        <v>31</v>
      </c>
      <c r="AL3" s="16">
        <v>32</v>
      </c>
      <c r="AM3" s="16">
        <v>33</v>
      </c>
      <c r="AN3" s="16">
        <v>34</v>
      </c>
      <c r="AO3" s="16">
        <v>35</v>
      </c>
      <c r="AP3" s="16">
        <v>36</v>
      </c>
      <c r="AQ3" s="16">
        <v>37</v>
      </c>
      <c r="AR3" s="16">
        <v>38</v>
      </c>
      <c r="AS3" s="16">
        <v>39</v>
      </c>
      <c r="AT3" s="16">
        <v>40</v>
      </c>
      <c r="AU3" s="16">
        <v>41</v>
      </c>
      <c r="AV3" s="18">
        <v>42</v>
      </c>
      <c r="AW3" s="18">
        <v>43</v>
      </c>
      <c r="AX3" s="18">
        <v>44</v>
      </c>
      <c r="AY3" s="18">
        <v>45</v>
      </c>
      <c r="AZ3" s="18">
        <v>46</v>
      </c>
      <c r="BA3" s="18">
        <v>47</v>
      </c>
      <c r="BB3" s="18">
        <v>48</v>
      </c>
      <c r="BC3" s="18">
        <v>49</v>
      </c>
      <c r="BD3" s="19">
        <v>50</v>
      </c>
      <c r="BE3" s="15" t="s">
        <v>5</v>
      </c>
    </row>
    <row r="4" spans="2:57" ht="30" customHeight="1">
      <c r="B4" s="20" t="s"/>
      <c r="D4" s="21">
        <f>=SUM(E133:BB133)/E2</f>
        <v>2.33333333333333</v>
      </c>
      <c r="E4" s="22">
        <f>=SUM(G4:BD4)</f>
        <v>59.5</v>
      </c>
      <c r="F4" s="16" t="s">
        <v>6</v>
      </c>
      <c r="G4" s="23">
        <v>-6.9</v>
      </c>
      <c r="H4" s="24">
        <v>-9</v>
      </c>
      <c r="I4" s="23">
        <v>-19.7</v>
      </c>
      <c r="J4" s="23">
        <v>8.8</v>
      </c>
      <c r="K4" s="23">
        <v>6.9</v>
      </c>
      <c r="L4" s="23">
        <v>26.6</v>
      </c>
      <c r="M4" s="23">
        <v>43.8</v>
      </c>
      <c r="N4" s="23">
        <v>22</v>
      </c>
      <c r="O4" s="113">
        <v>-13</v>
      </c>
      <c r="P4" s="25" t="s"/>
      <c r="Q4" s="25" t="s"/>
      <c r="R4" s="26" t="s"/>
      <c r="S4" s="26" t="s"/>
      <c r="T4" s="26" t="s"/>
      <c r="U4" s="26" t="s"/>
      <c r="V4" s="27" t="s"/>
      <c r="W4" s="27" t="s"/>
      <c r="X4" s="28" t="s"/>
      <c r="Y4" s="29" t="s"/>
      <c r="Z4" s="29" t="s"/>
      <c r="AA4" s="29" t="s"/>
      <c r="AB4" s="29" t="s"/>
      <c r="AC4" s="29" t="s"/>
      <c r="AD4" s="29" t="s"/>
      <c r="AE4" s="29" t="s"/>
      <c r="AF4" s="29" t="s"/>
      <c r="AG4" s="29" t="s"/>
      <c r="AH4" s="29" t="s"/>
      <c r="AI4" s="29" t="s"/>
      <c r="AJ4" s="29" t="s"/>
      <c r="AK4" s="29" t="s"/>
      <c r="AL4" s="29" t="s"/>
      <c r="AM4" s="29" t="s"/>
      <c r="AN4" s="29" t="s"/>
      <c r="AO4" s="29" t="s"/>
      <c r="AP4" s="29" t="s"/>
      <c r="AQ4" s="29" t="s"/>
      <c r="AR4" s="29" t="s"/>
      <c r="AS4" s="29" t="s"/>
      <c r="AT4" s="29" t="s"/>
      <c r="AU4" s="29" t="s"/>
      <c r="AV4" s="29" t="s"/>
      <c r="AW4" s="29" t="s"/>
      <c r="AX4" s="29" t="s"/>
      <c r="AY4" s="29" t="s"/>
      <c r="AZ4" s="29" t="s"/>
      <c r="BA4" s="29" t="s"/>
      <c r="BB4" s="29" t="s"/>
      <c r="BC4" s="29" t="s"/>
      <c r="BD4" s="29" t="s"/>
      <c r="BE4" s="16" t="s">
        <v>7</v>
      </c>
    </row>
    <row r="5" spans="4:57" ht="30" customHeight="1">
      <c r="D5" s="30">
        <f>=SUM(E134:BB134)/E2</f>
        <v>2.77777777777778</v>
      </c>
      <c r="E5" s="31">
        <f>=SUM(G5:BD5)</f>
        <v>-86.9</v>
      </c>
      <c r="F5" s="18" t="s">
        <v>8</v>
      </c>
      <c r="G5" s="23">
        <v>13.2</v>
      </c>
      <c r="H5" s="24">
        <v>13.3</v>
      </c>
      <c r="I5" s="23">
        <v>65.5</v>
      </c>
      <c r="J5" s="23">
        <v>-56.9</v>
      </c>
      <c r="K5" s="23">
        <v>-13.1</v>
      </c>
      <c r="L5" s="23">
        <v>-58.1</v>
      </c>
      <c r="M5" s="23">
        <v>-8</v>
      </c>
      <c r="N5" s="23">
        <v>-62.9</v>
      </c>
      <c r="O5" s="113">
        <v>20.1</v>
      </c>
      <c r="P5" s="25" t="s"/>
      <c r="Q5" s="25" t="s"/>
      <c r="R5" s="26" t="s"/>
      <c r="S5" s="26" t="s"/>
      <c r="T5" s="26" t="s"/>
      <c r="U5" s="26" t="s"/>
      <c r="V5" s="27" t="s"/>
      <c r="W5" s="27" t="s"/>
      <c r="X5" s="28" t="s"/>
      <c r="Y5" s="29" t="s"/>
      <c r="Z5" s="29" t="s"/>
      <c r="AA5" s="29" t="s"/>
      <c r="AB5" s="29" t="s"/>
      <c r="AC5" s="26" t="s"/>
      <c r="AD5" s="29" t="s"/>
      <c r="AE5" s="29" t="s"/>
      <c r="AF5" s="29" t="s"/>
      <c r="AG5" s="29" t="s"/>
      <c r="AH5" s="29" t="s"/>
      <c r="AI5" s="29" t="s"/>
      <c r="AJ5" s="29" t="s"/>
      <c r="AK5" s="29" t="s"/>
      <c r="AL5" s="29" t="s"/>
      <c r="AM5" s="29" t="s"/>
      <c r="AN5" s="29" t="s"/>
      <c r="AO5" s="29" t="s"/>
      <c r="AP5" s="29" t="s"/>
      <c r="AQ5" s="29" t="s"/>
      <c r="AR5" s="29" t="s"/>
      <c r="AS5" s="29" t="s"/>
      <c r="AT5" s="29" t="s"/>
      <c r="AU5" s="29" t="s"/>
      <c r="AV5" s="29" t="s"/>
      <c r="AW5" s="29" t="s"/>
      <c r="AX5" s="29" t="s"/>
      <c r="AY5" s="29" t="s"/>
      <c r="AZ5" s="29" t="s"/>
      <c r="BA5" s="29" t="s"/>
      <c r="BB5" s="29" t="s"/>
      <c r="BC5" s="29" t="s"/>
      <c r="BD5" s="29" t="s"/>
      <c r="BE5" s="18" t="s">
        <v>9</v>
      </c>
    </row>
    <row r="6" spans="4:57" ht="30" customHeight="1">
      <c r="D6" s="30">
        <f>=SUM(E135:BB135)/E2</f>
        <v>1.88888888888889</v>
      </c>
      <c r="E6" s="31">
        <f>=SUM(G6:BD6)</f>
        <v>135.4</v>
      </c>
      <c r="F6" s="18" t="s">
        <v>10</v>
      </c>
      <c r="G6" s="23">
        <v>41</v>
      </c>
      <c r="H6" s="24">
        <v>46.4</v>
      </c>
      <c r="I6" s="23">
        <v>-55.7</v>
      </c>
      <c r="J6" s="23">
        <v>-28.5</v>
      </c>
      <c r="K6" s="23">
        <v>41.9</v>
      </c>
      <c r="L6" s="23">
        <v>49.6</v>
      </c>
      <c r="M6" s="23">
        <v>-48.4</v>
      </c>
      <c r="N6" s="23">
        <v>48.1</v>
      </c>
      <c r="O6" s="113">
        <v>41</v>
      </c>
      <c r="P6" s="25" t="s"/>
      <c r="Q6" s="25" t="s"/>
      <c r="R6" s="26" t="s"/>
      <c r="S6" s="26" t="s"/>
      <c r="T6" s="26" t="s"/>
      <c r="U6" s="26" t="s"/>
      <c r="V6" s="27" t="s"/>
      <c r="W6" s="27" t="s"/>
      <c r="X6" s="28" t="s"/>
      <c r="Y6" s="29" t="s"/>
      <c r="Z6" s="29" t="s"/>
      <c r="AA6" s="29" t="s"/>
      <c r="AB6" s="29" t="s"/>
      <c r="AC6" s="29" t="s"/>
      <c r="AD6" s="29" t="s"/>
      <c r="AE6" s="29" t="s"/>
      <c r="AF6" s="29" t="s"/>
      <c r="AG6" s="29" t="s"/>
      <c r="AH6" s="29" t="s"/>
      <c r="AI6" s="29" t="s"/>
      <c r="AJ6" s="29" t="s"/>
      <c r="AK6" s="29" t="s"/>
      <c r="AL6" s="29" t="s"/>
      <c r="AM6" s="29" t="s"/>
      <c r="AN6" s="29" t="s"/>
      <c r="AO6" s="29" t="s"/>
      <c r="AP6" s="29" t="s"/>
      <c r="AQ6" s="29" t="s"/>
      <c r="AR6" s="29" t="s"/>
      <c r="AS6" s="29" t="s"/>
      <c r="AT6" s="29" t="s"/>
      <c r="AU6" s="29" t="s"/>
      <c r="AV6" s="29" t="s"/>
      <c r="AW6" s="29" t="s"/>
      <c r="AX6" s="29" t="s"/>
      <c r="AY6" s="29" t="s"/>
      <c r="AZ6" s="29" t="s"/>
      <c r="BA6" s="29" t="s"/>
      <c r="BB6" s="29" t="s"/>
      <c r="BC6" s="29" t="s"/>
      <c r="BD6" s="29" t="s"/>
      <c r="BE6" s="18" t="s">
        <v>11</v>
      </c>
    </row>
    <row r="7" spans="4:57" ht="30" customHeight="1">
      <c r="D7" s="32">
        <f>=SUM(E136:BB136)/E2</f>
        <v>3</v>
      </c>
      <c r="E7" s="33">
        <f>=SUM(G7:BD7)</f>
        <v>-108</v>
      </c>
      <c r="F7" s="34" t="s">
        <v>12</v>
      </c>
      <c r="G7" s="23">
        <v>-47.3</v>
      </c>
      <c r="H7" s="24">
        <v>-50.7</v>
      </c>
      <c r="I7" s="23">
        <v>9.9</v>
      </c>
      <c r="J7" s="23">
        <v>76.6</v>
      </c>
      <c r="K7" s="23">
        <v>-35.7</v>
      </c>
      <c r="L7" s="23">
        <v>-18.1</v>
      </c>
      <c r="M7" s="23">
        <v>12.6</v>
      </c>
      <c r="N7" s="23">
        <v>-7.2</v>
      </c>
      <c r="O7" s="113">
        <v>-48.1</v>
      </c>
      <c r="P7" s="25" t="s"/>
      <c r="Q7" s="25" t="s"/>
      <c r="R7" s="26" t="s"/>
      <c r="S7" s="26" t="s"/>
      <c r="T7" s="26" t="s"/>
      <c r="U7" s="26" t="s"/>
      <c r="V7" s="27" t="s"/>
      <c r="W7" s="27" t="s"/>
      <c r="X7" s="28" t="s"/>
      <c r="Y7" s="29" t="s"/>
      <c r="Z7" s="29" t="s"/>
      <c r="AA7" s="29" t="s"/>
      <c r="AB7" s="29" t="s"/>
      <c r="AC7" s="29" t="s"/>
      <c r="AD7" s="29" t="s"/>
      <c r="AE7" s="29" t="s"/>
      <c r="AF7" s="29" t="s"/>
      <c r="AG7" s="29" t="s"/>
      <c r="AH7" s="29" t="s"/>
      <c r="AI7" s="29" t="s"/>
      <c r="AJ7" s="29" t="s"/>
      <c r="AK7" s="29" t="s"/>
      <c r="AL7" s="29" t="s"/>
      <c r="AM7" s="29" t="s"/>
      <c r="AN7" s="29" t="s"/>
      <c r="AO7" s="29" t="s"/>
      <c r="AP7" s="29" t="s"/>
      <c r="AQ7" s="29" t="s"/>
      <c r="AR7" s="29" t="s"/>
      <c r="AS7" s="29" t="s"/>
      <c r="AT7" s="29" t="s"/>
      <c r="AU7" s="29" t="s"/>
      <c r="AV7" s="29" t="s"/>
      <c r="AW7" s="29" t="s"/>
      <c r="AX7" s="29" t="s"/>
      <c r="AY7" s="29" t="s"/>
      <c r="AZ7" s="29" t="s"/>
      <c r="BA7" s="29" t="s"/>
      <c r="BB7" s="29" t="s"/>
      <c r="BC7" s="29" t="s"/>
      <c r="BD7" s="29" t="s"/>
      <c r="BE7" s="34" t="s">
        <v>13</v>
      </c>
    </row>
    <row r="8" spans="1:57" s="114" customFormat="1" ht="30" customHeight="1">
      <c r="A8" s="35" t="s"/>
      <c r="B8" s="35" t="s"/>
      <c r="C8" s="35" t="s"/>
      <c r="D8" s="36" t="s">
        <v>14</v>
      </c>
      <c r="E8" s="37" t="s">
        <v>15</v>
      </c>
      <c r="F8" s="38" t="s">
        <v>16</v>
      </c>
      <c r="G8" s="39" t="s">
        <v>15</v>
      </c>
      <c r="H8" s="39" t="s">
        <v>15</v>
      </c>
      <c r="I8" s="39" t="s">
        <v>15</v>
      </c>
      <c r="J8" s="39" t="s">
        <v>15</v>
      </c>
      <c r="K8" s="39" t="s">
        <v>15</v>
      </c>
      <c r="L8" s="39" t="s">
        <v>15</v>
      </c>
      <c r="M8" s="39" t="s">
        <v>15</v>
      </c>
      <c r="N8" s="39" t="s">
        <v>15</v>
      </c>
      <c r="O8" s="39" t="s">
        <v>15</v>
      </c>
      <c r="P8" s="39" t="s"/>
      <c r="Q8" s="39" t="s"/>
      <c r="R8" s="39" t="s"/>
      <c r="S8" s="39" t="s"/>
      <c r="T8" s="39" t="s"/>
      <c r="U8" s="39" t="s"/>
      <c r="V8" s="39" t="s"/>
      <c r="W8" s="39" t="s"/>
      <c r="X8" s="39" t="s"/>
      <c r="Y8" s="40" t="s"/>
      <c r="Z8" s="41" t="s"/>
      <c r="AA8" s="40" t="s"/>
      <c r="AB8" s="40" t="s"/>
      <c r="AC8" s="40" t="s"/>
      <c r="AD8" s="40" t="s"/>
      <c r="AE8" s="40" t="s"/>
      <c r="AF8" s="40" t="s"/>
      <c r="AG8" s="40" t="s"/>
      <c r="AH8" s="40" t="s"/>
      <c r="AI8" s="40" t="s"/>
      <c r="AJ8" s="41" t="s"/>
      <c r="AK8" s="40" t="s"/>
      <c r="AL8" s="40" t="s"/>
      <c r="AM8" s="40" t="s"/>
      <c r="AN8" s="40" t="s"/>
      <c r="AO8" s="40" t="s"/>
      <c r="AP8" s="40" t="s"/>
      <c r="AQ8" s="40" t="s"/>
      <c r="AR8" s="40" t="s"/>
      <c r="AS8" s="40" t="s"/>
      <c r="AT8" s="40" t="s"/>
      <c r="AU8" s="42" t="s"/>
      <c r="AV8" s="40" t="s"/>
      <c r="AW8" s="40" t="s"/>
      <c r="AX8" s="40" t="s"/>
      <c r="AY8" s="40" t="s"/>
      <c r="AZ8" s="40" t="s"/>
      <c r="BA8" s="40" t="s"/>
      <c r="BB8" s="40" t="s"/>
      <c r="BC8" s="40" t="s"/>
      <c r="BD8" s="40" t="s"/>
      <c r="BE8" s="40" t="s">
        <v>5</v>
      </c>
    </row>
    <row r="9" spans="10:57" ht="30" customHeight="1">
      <c r="J9" s="43" t="s"/>
      <c r="BE9" s="5" t="s"/>
    </row>
    <row r="10" spans="4:57" ht="30" customHeight="1">
      <c r="D10" s="44" t="s"/>
      <c r="E10" s="5" t="s"/>
      <c r="F10" s="5" t="s"/>
      <c r="G10" s="45" t="s">
        <v>17</v>
      </c>
      <c r="H10" s="45">
        <f>=ROUND(AVERAGE(H12:H129),2)</f>
        <v>89.94</v>
      </c>
      <c r="I10" s="45">
        <f>=ROUND(AVERAGE(I12:I129),2)</f>
        <v>88.02</v>
      </c>
      <c r="J10" s="46" t="s"/>
      <c r="K10" s="45">
        <f>=ROUND(AVERAGE(K12:K129),2)</f>
        <v>84.77</v>
      </c>
      <c r="L10" s="45">
        <f>=ROUND(AVERAGE(L12:L129),2)</f>
        <v>83.64</v>
      </c>
      <c r="M10" s="45" t="s"/>
      <c r="N10" s="45">
        <f>=ROUND(AVERAGE(N12:N129),2)</f>
        <v>89.83</v>
      </c>
      <c r="O10" s="47">
        <f>=ROUND(AVERAGE(O12:O129),2)</f>
        <v>89.58</v>
      </c>
      <c r="P10" s="47" t="s"/>
      <c r="Q10" s="47">
        <f>=ROUND(AVERAGE(Q12:Q129),2)</f>
        <v>84.88</v>
      </c>
      <c r="R10" s="47">
        <f>=ROUND(AVERAGE(R12:R129),2)</f>
        <v>83.53</v>
      </c>
      <c r="S10" s="48" t="s"/>
      <c r="T10" s="48" t="s"/>
      <c r="U10" s="48" t="s"/>
      <c r="V10" s="48" t="s"/>
      <c r="BE10" s="5" t="s"/>
    </row>
    <row r="11" spans="4:57" ht="30" customHeight="1">
      <c r="D11" s="5" t="s"/>
      <c r="E11" s="5" t="s"/>
      <c r="F11" s="5" t="s"/>
      <c r="G11" s="49" t="s">
        <v>18</v>
      </c>
      <c r="H11" s="5" t="s">
        <v>19</v>
      </c>
      <c r="I11" s="50" t="s">
        <v>20</v>
      </c>
      <c r="J11" s="49" t="s">
        <v>21</v>
      </c>
      <c r="K11" s="51" t="s">
        <v>19</v>
      </c>
      <c r="L11" s="50" t="s">
        <v>20</v>
      </c>
      <c r="M11" s="52" t="s">
        <v>22</v>
      </c>
      <c r="N11" s="53" t="s">
        <v>19</v>
      </c>
      <c r="O11" s="54" t="s">
        <v>20</v>
      </c>
      <c r="P11" s="55" t="s">
        <v>23</v>
      </c>
      <c r="Q11" s="56" t="s">
        <v>19</v>
      </c>
      <c r="R11" s="54" t="s">
        <v>20</v>
      </c>
      <c r="S11" s="57" t="s"/>
      <c r="T11" s="56" t="s"/>
      <c r="U11" s="56" t="s"/>
      <c r="V11" s="54" t="s"/>
      <c r="BE11" s="5" t="s"/>
    </row>
    <row r="12" spans="4:57" ht="30" customHeight="1">
      <c r="D12" s="58" t="s"/>
      <c r="E12" s="58" t="s"/>
      <c r="F12" s="59" t="s"/>
      <c r="G12" s="49">
        <v>1</v>
      </c>
      <c r="H12" s="5">
        <v>91.6</v>
      </c>
      <c r="I12" s="5">
        <v>86</v>
      </c>
      <c r="J12" s="49">
        <v>1</v>
      </c>
      <c r="K12" s="51">
        <v>83.8</v>
      </c>
      <c r="L12" s="5">
        <v>84.1</v>
      </c>
      <c r="M12" s="49">
        <v>1</v>
      </c>
      <c r="N12" s="51">
        <v>92.2</v>
      </c>
      <c r="O12" s="56">
        <v>90.8</v>
      </c>
      <c r="P12" s="55">
        <v>1</v>
      </c>
      <c r="Q12" s="56">
        <v>85.2</v>
      </c>
      <c r="R12" s="56">
        <v>84.6</v>
      </c>
      <c r="S12" s="56" t="s"/>
      <c r="T12" s="56" t="s"/>
      <c r="U12" s="56" t="s"/>
      <c r="V12" s="56" t="s"/>
      <c r="BE12" s="5" t="s"/>
    </row>
    <row r="13" spans="4:57" ht="30" customHeight="1">
      <c r="D13" s="5" t="s"/>
      <c r="E13" s="58" t="s"/>
      <c r="F13" s="5" t="s"/>
      <c r="G13" s="49">
        <v>2</v>
      </c>
      <c r="H13" s="5">
        <v>86.8</v>
      </c>
      <c r="I13" s="5">
        <v>84</v>
      </c>
      <c r="J13" s="49">
        <v>2</v>
      </c>
      <c r="K13" s="51">
        <v>88.2</v>
      </c>
      <c r="L13" s="5">
        <v>88.6</v>
      </c>
      <c r="M13" s="49">
        <v>2</v>
      </c>
      <c r="N13" s="51">
        <v>83.1</v>
      </c>
      <c r="O13" s="56">
        <v>80.8</v>
      </c>
      <c r="P13" s="55">
        <v>2</v>
      </c>
      <c r="Q13" s="56">
        <v>85.1</v>
      </c>
      <c r="R13" s="56">
        <v>83.5</v>
      </c>
      <c r="S13" s="56" t="s"/>
      <c r="T13" s="56" t="s"/>
      <c r="U13" s="56" t="s"/>
      <c r="V13" s="56" t="s"/>
      <c r="BE13" s="5" t="s"/>
    </row>
    <row r="14" spans="4:57" ht="30" customHeight="1">
      <c r="D14" s="5" t="s"/>
      <c r="E14" s="5" t="s"/>
      <c r="G14" s="52">
        <v>3</v>
      </c>
      <c r="H14" s="5">
        <v>86.8</v>
      </c>
      <c r="I14" s="5">
        <v>87.3</v>
      </c>
      <c r="J14" s="52">
        <v>3</v>
      </c>
      <c r="K14" s="53">
        <v>80.1</v>
      </c>
      <c r="L14" s="5">
        <v>78.4</v>
      </c>
      <c r="M14" s="52">
        <v>3</v>
      </c>
      <c r="N14" s="53">
        <v>90.7</v>
      </c>
      <c r="O14" s="56">
        <v>90.7</v>
      </c>
      <c r="P14" s="60">
        <v>3</v>
      </c>
      <c r="Q14" s="61">
        <v>87.4</v>
      </c>
      <c r="R14" s="61">
        <v>84</v>
      </c>
      <c r="S14" s="56" t="s"/>
      <c r="T14" s="56" t="s"/>
      <c r="U14" s="56" t="s"/>
      <c r="V14" s="56" t="s"/>
      <c r="BE14" s="5" t="s"/>
    </row>
    <row r="15" spans="5:57" ht="30" customHeight="1">
      <c r="E15" s="5" t="s"/>
      <c r="G15" s="62">
        <v>4</v>
      </c>
      <c r="H15" s="5">
        <v>89.2</v>
      </c>
      <c r="I15" s="5">
        <v>87.1</v>
      </c>
      <c r="J15" s="62">
        <v>4</v>
      </c>
      <c r="K15" s="51">
        <v>78.2</v>
      </c>
      <c r="L15" s="5">
        <v>77.6</v>
      </c>
      <c r="M15" s="62">
        <v>4</v>
      </c>
      <c r="N15" s="51">
        <v>90.7</v>
      </c>
      <c r="O15" s="56">
        <v>90.1</v>
      </c>
      <c r="P15" s="63">
        <v>4</v>
      </c>
      <c r="Q15" s="61">
        <v>88</v>
      </c>
      <c r="R15" s="61">
        <v>86.4</v>
      </c>
      <c r="S15" s="56" t="s"/>
      <c r="T15" s="56" t="s"/>
      <c r="U15" s="56" t="s"/>
      <c r="V15" s="56" t="s"/>
      <c r="BE15" s="5" t="s"/>
    </row>
    <row r="16" spans="7:57" ht="30" customHeight="1">
      <c r="G16" s="62">
        <v>5</v>
      </c>
      <c r="H16" s="5">
        <v>91.9</v>
      </c>
      <c r="I16" s="5">
        <v>87.9</v>
      </c>
      <c r="J16" s="62">
        <v>5</v>
      </c>
      <c r="K16" s="51">
        <v>88.6</v>
      </c>
      <c r="L16" s="5">
        <v>88.6</v>
      </c>
      <c r="M16" s="62">
        <v>5</v>
      </c>
      <c r="N16" s="51">
        <v>90.1</v>
      </c>
      <c r="O16" s="56">
        <v>90.7</v>
      </c>
      <c r="P16" s="63">
        <v>5</v>
      </c>
      <c r="Q16" s="61">
        <v>84.5</v>
      </c>
      <c r="R16" s="61">
        <v>85.7</v>
      </c>
      <c r="S16" s="56" t="s"/>
      <c r="T16" s="56" t="s"/>
      <c r="U16" s="56" t="s"/>
      <c r="V16" s="56" t="s"/>
      <c r="BE16" s="5" t="s"/>
    </row>
    <row r="17" spans="7:57" ht="30" customHeight="1">
      <c r="G17" s="52">
        <v>6</v>
      </c>
      <c r="H17" s="5">
        <v>92</v>
      </c>
      <c r="I17" s="5">
        <v>88</v>
      </c>
      <c r="J17" s="52">
        <v>6</v>
      </c>
      <c r="K17" s="53">
        <v>90.5</v>
      </c>
      <c r="L17" s="5">
        <v>86.2</v>
      </c>
      <c r="M17" s="52">
        <v>6</v>
      </c>
      <c r="N17" s="53">
        <v>92.5</v>
      </c>
      <c r="O17" s="56">
        <v>94.6</v>
      </c>
      <c r="P17" s="60">
        <v>6</v>
      </c>
      <c r="Q17" s="48">
        <v>85.6</v>
      </c>
      <c r="R17" s="48">
        <v>81.8</v>
      </c>
      <c r="S17" s="56" t="s"/>
      <c r="T17" s="56" t="s"/>
      <c r="U17" s="56" t="s"/>
      <c r="V17" s="56" t="s"/>
      <c r="BE17" s="5" t="s"/>
    </row>
    <row r="18" spans="7:57" ht="30" customHeight="1">
      <c r="G18" s="62">
        <v>7</v>
      </c>
      <c r="H18" s="5">
        <v>92.8</v>
      </c>
      <c r="I18" s="5">
        <v>93.6</v>
      </c>
      <c r="J18" s="62">
        <v>7</v>
      </c>
      <c r="K18" s="51">
        <v>82.7</v>
      </c>
      <c r="L18" s="5">
        <v>81.6</v>
      </c>
      <c r="M18" s="62">
        <v>7</v>
      </c>
      <c r="N18" s="51">
        <v>91.3</v>
      </c>
      <c r="O18" s="56">
        <v>92.3</v>
      </c>
      <c r="P18" s="63">
        <v>7</v>
      </c>
      <c r="Q18" s="61">
        <v>79.6</v>
      </c>
      <c r="R18" s="61">
        <v>79</v>
      </c>
      <c r="S18" s="56" t="s"/>
      <c r="T18" s="56" t="s"/>
      <c r="U18" s="56" t="s"/>
      <c r="V18" s="56" t="s"/>
      <c r="BE18" s="5" t="s"/>
    </row>
    <row r="19" spans="7:57" ht="30" customHeight="1">
      <c r="G19" s="62">
        <v>8</v>
      </c>
      <c r="H19" s="5">
        <v>87.6</v>
      </c>
      <c r="I19" s="5">
        <v>86.6</v>
      </c>
      <c r="J19" s="62">
        <v>8</v>
      </c>
      <c r="K19" s="51">
        <v>84.1</v>
      </c>
      <c r="L19" s="5">
        <v>84.7</v>
      </c>
      <c r="M19" s="62">
        <v>8</v>
      </c>
      <c r="N19" s="51">
        <v>91.6</v>
      </c>
      <c r="O19" s="56">
        <v>88.8</v>
      </c>
      <c r="P19" s="63">
        <v>8</v>
      </c>
      <c r="Q19" s="61">
        <v>86.2</v>
      </c>
      <c r="R19" s="61">
        <v>83.7</v>
      </c>
      <c r="S19" s="56" t="s"/>
      <c r="T19" s="56" t="s"/>
      <c r="U19" s="56" t="s"/>
      <c r="V19" s="56" t="s"/>
      <c r="BE19" s="5" t="s"/>
    </row>
    <row r="20" spans="7:57" ht="30" customHeight="1">
      <c r="G20" s="52">
        <v>9</v>
      </c>
      <c r="H20" s="5">
        <v>90.8</v>
      </c>
      <c r="I20" s="5">
        <v>91.7</v>
      </c>
      <c r="J20" s="52">
        <v>9</v>
      </c>
      <c r="K20" s="53">
        <v>86.7</v>
      </c>
      <c r="L20" s="5">
        <v>83</v>
      </c>
      <c r="M20" s="52">
        <v>9</v>
      </c>
      <c r="N20" s="53">
        <v>86.3</v>
      </c>
      <c r="O20" s="56">
        <v>87.4</v>
      </c>
      <c r="P20" s="60">
        <v>9</v>
      </c>
      <c r="Q20" s="48">
        <v>82.3</v>
      </c>
      <c r="R20" s="48">
        <v>83.1</v>
      </c>
      <c r="S20" s="56" t="s"/>
      <c r="T20" s="56" t="s"/>
      <c r="U20" s="56" t="s"/>
      <c r="V20" s="56" t="s"/>
      <c r="BE20" s="5" t="s"/>
    </row>
    <row r="21" spans="7:57" ht="30" customHeight="1">
      <c r="G21" s="62">
        <v>10</v>
      </c>
      <c r="H21" s="5" t="s"/>
      <c r="I21" s="5" t="s"/>
      <c r="J21" s="62">
        <v>10</v>
      </c>
      <c r="K21" s="51" t="s"/>
      <c r="L21" s="5" t="s"/>
      <c r="M21" s="62">
        <v>10</v>
      </c>
      <c r="N21" s="51" t="s"/>
      <c r="O21" s="56" t="s"/>
      <c r="P21" s="63">
        <v>10</v>
      </c>
      <c r="Q21" s="61" t="s"/>
      <c r="R21" s="61" t="s"/>
      <c r="S21" s="56" t="s"/>
      <c r="T21" s="56" t="s"/>
      <c r="U21" s="56" t="s"/>
      <c r="V21" s="56" t="s"/>
      <c r="BE21" s="5" t="s"/>
    </row>
    <row r="22" spans="7:57" ht="30" customHeight="1">
      <c r="G22" s="62">
        <v>11</v>
      </c>
      <c r="H22" s="5" t="s"/>
      <c r="I22" s="5" t="s"/>
      <c r="J22" s="62">
        <v>11</v>
      </c>
      <c r="K22" s="51" t="s"/>
      <c r="L22" s="5" t="s"/>
      <c r="M22" s="62">
        <v>11</v>
      </c>
      <c r="N22" s="51" t="s"/>
      <c r="O22" s="56" t="s"/>
      <c r="P22" s="63">
        <v>11</v>
      </c>
      <c r="Q22" s="61" t="s"/>
      <c r="R22" s="61" t="s"/>
      <c r="S22" s="56" t="s"/>
      <c r="T22" s="56" t="s"/>
      <c r="U22" s="56" t="s"/>
      <c r="V22" s="56" t="s"/>
      <c r="BE22" s="5" t="s"/>
    </row>
    <row r="23" spans="7:57" ht="30" customHeight="1">
      <c r="G23" s="52">
        <v>12</v>
      </c>
      <c r="J23" s="60">
        <v>12</v>
      </c>
      <c r="K23" s="53" t="s"/>
      <c r="L23" s="56" t="s"/>
      <c r="M23" s="60">
        <v>12</v>
      </c>
      <c r="N23" s="56" t="s"/>
      <c r="O23" s="56" t="s"/>
      <c r="P23" s="60">
        <v>12</v>
      </c>
      <c r="Q23" s="48" t="s"/>
      <c r="R23" s="48" t="s"/>
      <c r="S23" s="56" t="s"/>
      <c r="T23" s="56" t="s"/>
      <c r="U23" s="56" t="s"/>
      <c r="V23" s="56" t="s"/>
      <c r="BE23" s="5" t="s"/>
    </row>
    <row r="24" spans="7:57" ht="30" customHeight="1">
      <c r="G24" s="62">
        <v>13</v>
      </c>
      <c r="J24" s="63">
        <v>13</v>
      </c>
      <c r="K24" s="51" t="s"/>
      <c r="L24" s="56" t="s"/>
      <c r="M24" s="63">
        <v>13</v>
      </c>
      <c r="N24" s="56" t="s"/>
      <c r="O24" s="56" t="s"/>
      <c r="P24" s="63">
        <v>13</v>
      </c>
      <c r="Q24" s="61" t="s"/>
      <c r="R24" s="61" t="s"/>
      <c r="S24" s="56" t="s"/>
      <c r="T24" s="56" t="s"/>
      <c r="U24" s="56" t="s"/>
      <c r="V24" s="56" t="s"/>
      <c r="BE24" s="5" t="s"/>
    </row>
    <row r="25" spans="7:57" ht="30" customHeight="1">
      <c r="G25" s="62">
        <v>14</v>
      </c>
      <c r="J25" s="63">
        <v>14</v>
      </c>
      <c r="K25" s="51" t="s"/>
      <c r="L25" s="56" t="s"/>
      <c r="M25" s="63">
        <v>14</v>
      </c>
      <c r="N25" s="56" t="s"/>
      <c r="O25" s="56" t="s"/>
      <c r="P25" s="63">
        <v>14</v>
      </c>
      <c r="Q25" s="61" t="s"/>
      <c r="R25" s="61" t="s"/>
      <c r="S25" s="56" t="s"/>
      <c r="T25" s="56" t="s"/>
      <c r="U25" s="56" t="s"/>
      <c r="V25" s="56" t="s"/>
      <c r="BE25" s="5" t="s"/>
    </row>
    <row r="26" spans="7:57" ht="30" customHeight="1">
      <c r="G26" s="52">
        <v>15</v>
      </c>
      <c r="J26" s="60">
        <v>15</v>
      </c>
      <c r="K26" s="53" t="s"/>
      <c r="L26" s="56" t="s"/>
      <c r="M26" s="60">
        <v>15</v>
      </c>
      <c r="N26" s="56" t="s"/>
      <c r="O26" s="56" t="s"/>
      <c r="P26" s="60">
        <v>15</v>
      </c>
      <c r="Q26" s="48" t="s"/>
      <c r="R26" s="48" t="s"/>
      <c r="S26" s="56" t="s"/>
      <c r="T26" s="56" t="s"/>
      <c r="U26" s="56" t="s"/>
      <c r="V26" s="56" t="s"/>
      <c r="BE26" s="5" t="s"/>
    </row>
    <row r="27" spans="7:57" ht="30" customHeight="1">
      <c r="G27" s="62">
        <v>16</v>
      </c>
      <c r="J27" s="63">
        <v>16</v>
      </c>
      <c r="K27" s="51" t="s"/>
      <c r="L27" s="56" t="s"/>
      <c r="M27" s="63">
        <v>16</v>
      </c>
      <c r="N27" s="56" t="s"/>
      <c r="O27" s="56" t="s"/>
      <c r="P27" s="63">
        <v>16</v>
      </c>
      <c r="Q27" s="61" t="s"/>
      <c r="R27" s="61" t="s"/>
      <c r="S27" s="56" t="s"/>
      <c r="T27" s="56" t="s"/>
      <c r="U27" s="56" t="s"/>
      <c r="V27" s="56" t="s"/>
      <c r="BE27" s="5" t="s"/>
    </row>
    <row r="28" spans="7:57" ht="30" customHeight="1">
      <c r="G28" s="62">
        <v>17</v>
      </c>
      <c r="J28" s="63">
        <v>17</v>
      </c>
      <c r="K28" s="51" t="s"/>
      <c r="L28" s="56" t="s"/>
      <c r="M28" s="63">
        <v>17</v>
      </c>
      <c r="N28" s="56" t="s"/>
      <c r="O28" s="56" t="s"/>
      <c r="P28" s="63">
        <v>17</v>
      </c>
      <c r="Q28" s="61" t="s"/>
      <c r="R28" s="61" t="s"/>
      <c r="S28" s="56" t="s"/>
      <c r="T28" s="56" t="s"/>
      <c r="U28" s="56" t="s"/>
      <c r="V28" s="56" t="s"/>
      <c r="BE28" s="5" t="s"/>
    </row>
    <row r="29" spans="7:57" ht="30" customHeight="1">
      <c r="G29" s="52">
        <v>18</v>
      </c>
      <c r="J29" s="60">
        <v>18</v>
      </c>
      <c r="K29" s="53" t="s"/>
      <c r="L29" s="56" t="s"/>
      <c r="M29" s="60">
        <v>18</v>
      </c>
      <c r="N29" s="56" t="s"/>
      <c r="O29" s="56" t="s"/>
      <c r="P29" s="60">
        <v>18</v>
      </c>
      <c r="Q29" s="48" t="s"/>
      <c r="R29" s="48" t="s"/>
      <c r="S29" s="56" t="s"/>
      <c r="T29" s="56" t="s"/>
      <c r="U29" s="56" t="s"/>
      <c r="V29" s="56" t="s"/>
      <c r="BE29" s="5" t="s"/>
    </row>
    <row r="30" spans="7:57" ht="30" customHeight="1">
      <c r="G30" s="62">
        <v>19</v>
      </c>
      <c r="J30" s="63">
        <v>19</v>
      </c>
      <c r="K30" s="51" t="s"/>
      <c r="L30" s="56" t="s"/>
      <c r="M30" s="63">
        <v>19</v>
      </c>
      <c r="N30" s="56" t="s"/>
      <c r="O30" s="56" t="s"/>
      <c r="P30" s="63">
        <v>19</v>
      </c>
      <c r="Q30" s="61" t="s"/>
      <c r="R30" s="61" t="s"/>
      <c r="S30" s="56" t="s"/>
      <c r="T30" s="56" t="s"/>
      <c r="U30" s="56" t="s"/>
      <c r="V30" s="56" t="s"/>
      <c r="BE30" s="5" t="s"/>
    </row>
    <row r="31" spans="7:57" ht="30" customHeight="1">
      <c r="G31" s="62">
        <v>20</v>
      </c>
      <c r="J31" s="63">
        <v>20</v>
      </c>
      <c r="K31" s="51" t="s"/>
      <c r="L31" s="56" t="s"/>
      <c r="M31" s="63">
        <v>20</v>
      </c>
      <c r="N31" s="56" t="s"/>
      <c r="O31" s="56" t="s"/>
      <c r="P31" s="63">
        <v>20</v>
      </c>
      <c r="Q31" s="61" t="s"/>
      <c r="R31" s="61" t="s"/>
      <c r="S31" s="56" t="s"/>
      <c r="T31" s="56" t="s"/>
      <c r="U31" s="56" t="s"/>
      <c r="V31" s="56" t="s"/>
      <c r="BE31" s="5" t="s"/>
    </row>
    <row r="32" spans="7:57" ht="30" customHeight="1">
      <c r="G32" s="64">
        <v>21</v>
      </c>
      <c r="J32" s="65">
        <v>21</v>
      </c>
      <c r="K32" s="56" t="s"/>
      <c r="L32" s="56" t="s"/>
      <c r="M32" s="65">
        <v>21</v>
      </c>
      <c r="N32" s="56" t="s"/>
      <c r="O32" s="56" t="s"/>
      <c r="P32" s="65">
        <v>21</v>
      </c>
      <c r="Q32" s="66" t="s"/>
      <c r="R32" s="66" t="s"/>
      <c r="S32" s="56" t="s"/>
      <c r="T32" s="56" t="s"/>
      <c r="U32" s="56" t="s"/>
      <c r="V32" s="56" t="s"/>
      <c r="BE32" s="5" t="s"/>
    </row>
    <row r="33" spans="7:57" ht="30" customHeight="1">
      <c r="G33" s="63">
        <v>22</v>
      </c>
      <c r="J33" s="63">
        <v>22</v>
      </c>
      <c r="K33" s="56" t="s"/>
      <c r="L33" s="56" t="s"/>
      <c r="M33" s="63">
        <v>22</v>
      </c>
      <c r="N33" s="56" t="s"/>
      <c r="O33" s="56" t="s"/>
      <c r="P33" s="63">
        <v>22</v>
      </c>
      <c r="Q33" s="61" t="s"/>
      <c r="R33" s="61" t="s"/>
      <c r="S33" s="56" t="s"/>
      <c r="T33" s="56" t="s"/>
      <c r="U33" s="56" t="s"/>
      <c r="V33" s="56" t="s"/>
      <c r="BE33" s="5" t="s"/>
    </row>
    <row r="34" spans="7:57" ht="30" customHeight="1">
      <c r="G34" s="63">
        <v>23</v>
      </c>
      <c r="J34" s="63">
        <v>23</v>
      </c>
      <c r="K34" s="56" t="s"/>
      <c r="L34" s="56" t="s"/>
      <c r="M34" s="63">
        <v>23</v>
      </c>
      <c r="N34" s="56" t="s"/>
      <c r="O34" s="56" t="s"/>
      <c r="P34" s="63">
        <v>23</v>
      </c>
      <c r="Q34" s="61" t="s"/>
      <c r="R34" s="61" t="s"/>
      <c r="S34" s="56" t="s"/>
      <c r="T34" s="56" t="s"/>
      <c r="U34" s="56" t="s"/>
      <c r="V34" s="56" t="s"/>
      <c r="BE34" s="5" t="s"/>
    </row>
    <row r="35" spans="7:57" ht="30" customHeight="1">
      <c r="G35" s="60">
        <v>24</v>
      </c>
      <c r="J35" s="60">
        <v>24</v>
      </c>
      <c r="K35" s="56" t="s"/>
      <c r="L35" s="56" t="s"/>
      <c r="M35" s="60">
        <v>24</v>
      </c>
      <c r="N35" s="56" t="s"/>
      <c r="O35" s="56" t="s"/>
      <c r="P35" s="60">
        <v>24</v>
      </c>
      <c r="Q35" s="48" t="s"/>
      <c r="R35" s="48" t="s"/>
      <c r="S35" s="56" t="s"/>
      <c r="T35" s="56" t="s"/>
      <c r="U35" s="56" t="s"/>
      <c r="V35" s="56" t="s"/>
      <c r="BE35" s="5" t="s"/>
    </row>
    <row r="36" spans="7:57" ht="30" customHeight="1">
      <c r="G36" s="63">
        <v>25</v>
      </c>
      <c r="J36" s="63">
        <v>25</v>
      </c>
      <c r="K36" s="56" t="s"/>
      <c r="L36" s="56" t="s"/>
      <c r="M36" s="63">
        <v>25</v>
      </c>
      <c r="N36" s="56" t="s"/>
      <c r="O36" s="56" t="s"/>
      <c r="P36" s="63">
        <v>25</v>
      </c>
      <c r="Q36" s="61" t="s"/>
      <c r="R36" s="61" t="s"/>
      <c r="S36" s="56" t="s"/>
      <c r="T36" s="56" t="s"/>
      <c r="U36" s="56" t="s"/>
      <c r="V36" s="56" t="s"/>
      <c r="BE36" s="5" t="s"/>
    </row>
    <row r="37" spans="7:57" ht="30" customHeight="1">
      <c r="G37" s="63">
        <v>26</v>
      </c>
      <c r="J37" s="63">
        <v>26</v>
      </c>
      <c r="K37" s="56" t="s"/>
      <c r="L37" s="56" t="s"/>
      <c r="M37" s="63">
        <v>26</v>
      </c>
      <c r="N37" s="56" t="s"/>
      <c r="O37" s="56" t="s"/>
      <c r="P37" s="63">
        <v>26</v>
      </c>
      <c r="Q37" s="61" t="s"/>
      <c r="R37" s="61" t="s"/>
      <c r="S37" s="56" t="s"/>
      <c r="T37" s="56" t="s"/>
      <c r="U37" s="56" t="s"/>
      <c r="V37" s="56" t="s"/>
      <c r="BE37" s="5" t="s"/>
    </row>
    <row r="38" spans="7:57" ht="30" customHeight="1">
      <c r="G38" s="60">
        <v>27</v>
      </c>
      <c r="J38" s="60">
        <v>27</v>
      </c>
      <c r="K38" s="56" t="s"/>
      <c r="L38" s="56" t="s"/>
      <c r="M38" s="60">
        <v>27</v>
      </c>
      <c r="N38" s="56" t="s"/>
      <c r="O38" s="56" t="s"/>
      <c r="P38" s="60">
        <v>27</v>
      </c>
      <c r="Q38" s="48" t="s"/>
      <c r="R38" s="48" t="s"/>
      <c r="S38" s="56" t="s"/>
      <c r="T38" s="56" t="s"/>
      <c r="U38" s="56" t="s"/>
      <c r="V38" s="56" t="s"/>
      <c r="BE38" s="5" t="s"/>
    </row>
    <row r="39" spans="7:57" ht="30" customHeight="1">
      <c r="G39" s="63">
        <v>28</v>
      </c>
      <c r="J39" s="63">
        <v>28</v>
      </c>
      <c r="K39" s="56" t="s"/>
      <c r="L39" s="56" t="s"/>
      <c r="M39" s="63">
        <v>28</v>
      </c>
      <c r="N39" s="56" t="s"/>
      <c r="O39" s="56" t="s"/>
      <c r="P39" s="63">
        <v>28</v>
      </c>
      <c r="Q39" s="61" t="s"/>
      <c r="R39" s="61" t="s"/>
      <c r="S39" s="56" t="s"/>
      <c r="T39" s="56" t="s"/>
      <c r="U39" s="56" t="s"/>
      <c r="V39" s="56" t="s"/>
      <c r="BE39" s="5" t="s"/>
    </row>
    <row r="40" spans="7:57" ht="30" customHeight="1">
      <c r="G40" s="63">
        <v>29</v>
      </c>
      <c r="J40" s="63">
        <v>29</v>
      </c>
      <c r="K40" s="56" t="s"/>
      <c r="L40" s="56" t="s"/>
      <c r="M40" s="63">
        <v>29</v>
      </c>
      <c r="N40" s="56" t="s"/>
      <c r="O40" s="56" t="s"/>
      <c r="P40" s="63">
        <v>29</v>
      </c>
      <c r="Q40" s="61" t="s"/>
      <c r="R40" s="61" t="s"/>
      <c r="S40" s="56" t="s"/>
      <c r="T40" s="56" t="s"/>
      <c r="U40" s="56" t="s"/>
      <c r="V40" s="56" t="s"/>
      <c r="BE40" s="5" t="s"/>
    </row>
    <row r="41" spans="7:57" ht="30" customHeight="1">
      <c r="G41" s="60">
        <v>30</v>
      </c>
      <c r="J41" s="60">
        <v>30</v>
      </c>
      <c r="K41" s="56" t="s"/>
      <c r="L41" s="56" t="s"/>
      <c r="M41" s="60">
        <v>30</v>
      </c>
      <c r="N41" s="56" t="s"/>
      <c r="O41" s="56" t="s"/>
      <c r="P41" s="60">
        <v>30</v>
      </c>
      <c r="Q41" s="48" t="s"/>
      <c r="R41" s="48" t="s"/>
      <c r="S41" s="56" t="s"/>
      <c r="T41" s="56" t="s"/>
      <c r="U41" s="56" t="s"/>
      <c r="V41" s="56" t="s"/>
      <c r="BE41" s="5" t="s"/>
    </row>
    <row r="42" spans="7:57" ht="30" customHeight="1">
      <c r="G42" s="63">
        <v>31</v>
      </c>
      <c r="J42" s="63">
        <v>31</v>
      </c>
      <c r="K42" s="56" t="s"/>
      <c r="L42" s="56" t="s"/>
      <c r="M42" s="63">
        <v>31</v>
      </c>
      <c r="N42" s="56" t="s"/>
      <c r="O42" s="56" t="s"/>
      <c r="P42" s="63">
        <v>31</v>
      </c>
      <c r="Q42" s="61" t="s"/>
      <c r="R42" s="61" t="s"/>
      <c r="S42" s="56" t="s"/>
      <c r="T42" s="56" t="s"/>
      <c r="U42" s="56" t="s"/>
      <c r="V42" s="56" t="s"/>
      <c r="BE42" s="5" t="s"/>
    </row>
    <row r="43" spans="7:57" ht="30" customHeight="1">
      <c r="G43" s="63">
        <v>32</v>
      </c>
      <c r="J43" s="63">
        <v>32</v>
      </c>
      <c r="K43" s="56" t="s"/>
      <c r="L43" s="56" t="s"/>
      <c r="M43" s="63">
        <v>32</v>
      </c>
      <c r="N43" s="56" t="s"/>
      <c r="O43" s="56" t="s"/>
      <c r="P43" s="63">
        <v>32</v>
      </c>
      <c r="Q43" s="61" t="s"/>
      <c r="R43" s="61" t="s"/>
      <c r="S43" s="56" t="s"/>
      <c r="T43" s="56" t="s"/>
      <c r="U43" s="56" t="s"/>
      <c r="V43" s="56" t="s"/>
      <c r="BE43" s="5" t="s"/>
    </row>
    <row r="44" spans="7:57" ht="30" customHeight="1">
      <c r="G44" s="60">
        <v>33</v>
      </c>
      <c r="J44" s="60">
        <v>33</v>
      </c>
      <c r="K44" s="56" t="s"/>
      <c r="L44" s="56" t="s"/>
      <c r="M44" s="60">
        <v>33</v>
      </c>
      <c r="N44" s="56" t="s"/>
      <c r="O44" s="56" t="s"/>
      <c r="P44" s="60">
        <v>33</v>
      </c>
      <c r="Q44" s="48" t="s"/>
      <c r="R44" s="48" t="s"/>
      <c r="S44" s="56" t="s"/>
      <c r="T44" s="56" t="s"/>
      <c r="U44" s="56" t="s"/>
      <c r="V44" s="56" t="s"/>
      <c r="BE44" s="5" t="s"/>
    </row>
    <row r="45" spans="7:57" ht="30" customHeight="1">
      <c r="G45" s="63">
        <v>34</v>
      </c>
      <c r="J45" s="63">
        <v>34</v>
      </c>
      <c r="K45" s="56" t="s"/>
      <c r="L45" s="56" t="s"/>
      <c r="M45" s="63">
        <v>34</v>
      </c>
      <c r="N45" s="56" t="s"/>
      <c r="O45" s="56" t="s"/>
      <c r="P45" s="63">
        <v>34</v>
      </c>
      <c r="Q45" s="61" t="s"/>
      <c r="R45" s="61" t="s"/>
      <c r="S45" s="56" t="s"/>
      <c r="T45" s="56" t="s"/>
      <c r="U45" s="56" t="s"/>
      <c r="V45" s="56" t="s"/>
      <c r="BE45" s="5" t="s"/>
    </row>
    <row r="46" spans="7:57" ht="30" customHeight="1">
      <c r="G46" s="63">
        <v>35</v>
      </c>
      <c r="J46" s="63">
        <v>35</v>
      </c>
      <c r="K46" s="56" t="s"/>
      <c r="L46" s="56" t="s"/>
      <c r="M46" s="63">
        <v>35</v>
      </c>
      <c r="N46" s="56" t="s"/>
      <c r="O46" s="56" t="s"/>
      <c r="P46" s="63">
        <v>35</v>
      </c>
      <c r="Q46" s="61" t="s"/>
      <c r="R46" s="61" t="s"/>
      <c r="S46" s="56" t="s"/>
      <c r="T46" s="56" t="s"/>
      <c r="U46" s="56" t="s"/>
      <c r="V46" s="56" t="s"/>
      <c r="BE46" s="5" t="s"/>
    </row>
    <row r="47" spans="7:57" ht="30" customHeight="1">
      <c r="G47" s="60">
        <v>36</v>
      </c>
      <c r="J47" s="60">
        <v>36</v>
      </c>
      <c r="K47" s="56" t="s"/>
      <c r="L47" s="56" t="s"/>
      <c r="M47" s="60">
        <v>36</v>
      </c>
      <c r="N47" s="56" t="s"/>
      <c r="O47" s="56" t="s"/>
      <c r="P47" s="60">
        <v>36</v>
      </c>
      <c r="Q47" s="48" t="s"/>
      <c r="R47" s="48" t="s"/>
      <c r="S47" s="56" t="s"/>
      <c r="T47" s="56" t="s"/>
      <c r="U47" s="56" t="s"/>
      <c r="V47" s="56" t="s"/>
      <c r="BE47" s="5" t="s"/>
    </row>
    <row r="48" spans="7:57" ht="30" customHeight="1">
      <c r="G48" s="63">
        <v>37</v>
      </c>
      <c r="J48" s="63">
        <v>37</v>
      </c>
      <c r="K48" s="56" t="s"/>
      <c r="L48" s="56" t="s"/>
      <c r="M48" s="63">
        <v>37</v>
      </c>
      <c r="N48" s="56" t="s"/>
      <c r="O48" s="56" t="s"/>
      <c r="P48" s="63">
        <v>37</v>
      </c>
      <c r="Q48" s="61" t="s"/>
      <c r="R48" s="61" t="s"/>
      <c r="S48" s="56" t="s"/>
      <c r="T48" s="56" t="s"/>
      <c r="U48" s="56" t="s"/>
      <c r="V48" s="56" t="s"/>
      <c r="BE48" s="5" t="s"/>
    </row>
    <row r="49" spans="7:57" ht="30" customHeight="1">
      <c r="G49" s="63">
        <v>38</v>
      </c>
      <c r="J49" s="63">
        <v>38</v>
      </c>
      <c r="K49" s="56" t="s"/>
      <c r="L49" s="56" t="s"/>
      <c r="M49" s="63">
        <v>38</v>
      </c>
      <c r="N49" s="56" t="s"/>
      <c r="O49" s="56" t="s"/>
      <c r="P49" s="63">
        <v>38</v>
      </c>
      <c r="Q49" s="61" t="s"/>
      <c r="R49" s="61" t="s"/>
      <c r="S49" s="56" t="s"/>
      <c r="T49" s="56" t="s"/>
      <c r="U49" s="56" t="s"/>
      <c r="V49" s="56" t="s"/>
      <c r="BE49" s="5" t="s"/>
    </row>
    <row r="50" spans="7:57" ht="30" customHeight="1">
      <c r="G50" s="60">
        <v>39</v>
      </c>
      <c r="J50" s="60">
        <v>39</v>
      </c>
      <c r="K50" s="56" t="s"/>
      <c r="L50" s="56" t="s"/>
      <c r="M50" s="60">
        <v>39</v>
      </c>
      <c r="N50" s="56" t="s"/>
      <c r="O50" s="56" t="s"/>
      <c r="P50" s="60">
        <v>39</v>
      </c>
      <c r="Q50" s="48" t="s"/>
      <c r="R50" s="48" t="s"/>
      <c r="S50" s="56" t="s"/>
      <c r="T50" s="56" t="s"/>
      <c r="U50" s="56" t="s"/>
      <c r="V50" s="56" t="s"/>
      <c r="BE50" s="5" t="s"/>
    </row>
    <row r="51" spans="7:57" ht="30" customHeight="1">
      <c r="G51" s="60">
        <v>40</v>
      </c>
      <c r="J51" s="60">
        <v>40</v>
      </c>
      <c r="K51" s="56" t="s"/>
      <c r="L51" s="56" t="s"/>
      <c r="M51" s="60">
        <v>40</v>
      </c>
      <c r="N51" s="56" t="s"/>
      <c r="O51" s="56" t="s"/>
      <c r="P51" s="60">
        <v>40</v>
      </c>
      <c r="Q51" s="48" t="s"/>
      <c r="R51" s="48" t="s"/>
      <c r="S51" s="56" t="s"/>
      <c r="T51" s="56" t="s"/>
      <c r="U51" s="56" t="s"/>
      <c r="V51" s="56" t="s"/>
      <c r="BE51" s="5" t="s"/>
    </row>
    <row r="52" spans="7:57" ht="30" customHeight="1">
      <c r="G52" s="60">
        <v>41</v>
      </c>
      <c r="J52" s="60">
        <v>41</v>
      </c>
      <c r="K52" s="56" t="s"/>
      <c r="L52" s="56" t="s"/>
      <c r="M52" s="60">
        <v>41</v>
      </c>
      <c r="N52" s="56" t="s"/>
      <c r="O52" s="56" t="s"/>
      <c r="P52" s="60">
        <v>41</v>
      </c>
      <c r="Q52" s="48" t="s"/>
      <c r="R52" s="48" t="s"/>
      <c r="S52" s="56" t="s"/>
      <c r="T52" s="56" t="s"/>
      <c r="U52" s="56" t="s"/>
      <c r="V52" s="56" t="s"/>
      <c r="BE52" s="5" t="s"/>
    </row>
    <row r="53" spans="7:57" ht="30" customHeight="1">
      <c r="G53" s="60">
        <v>42</v>
      </c>
      <c r="J53" s="60">
        <v>42</v>
      </c>
      <c r="K53" s="56" t="s"/>
      <c r="L53" s="56" t="s"/>
      <c r="M53" s="60">
        <v>42</v>
      </c>
      <c r="N53" s="56" t="s"/>
      <c r="O53" s="56" t="s"/>
      <c r="P53" s="60">
        <v>42</v>
      </c>
      <c r="Q53" s="48" t="s"/>
      <c r="R53" s="48" t="s"/>
      <c r="S53" s="56" t="s"/>
      <c r="T53" s="56" t="s"/>
      <c r="U53" s="56" t="s"/>
      <c r="V53" s="56" t="s"/>
      <c r="BE53" s="5" t="s"/>
    </row>
    <row r="54" spans="7:57" ht="30" customHeight="1">
      <c r="G54" s="63">
        <v>43</v>
      </c>
      <c r="J54" s="63">
        <v>43</v>
      </c>
      <c r="K54" s="56" t="s"/>
      <c r="L54" s="56" t="s"/>
      <c r="M54" s="63">
        <v>43</v>
      </c>
      <c r="N54" s="56" t="s"/>
      <c r="O54" s="56" t="s"/>
      <c r="P54" s="63">
        <v>43</v>
      </c>
      <c r="Q54" s="61" t="s"/>
      <c r="R54" s="61" t="s"/>
      <c r="S54" s="56" t="s"/>
      <c r="T54" s="56" t="s"/>
      <c r="U54" s="56" t="s"/>
      <c r="V54" s="56" t="s"/>
      <c r="BE54" s="5" t="s"/>
    </row>
    <row r="55" spans="7:57" ht="30" customHeight="1">
      <c r="G55" s="63">
        <v>44</v>
      </c>
      <c r="J55" s="63">
        <v>44</v>
      </c>
      <c r="K55" s="56" t="s"/>
      <c r="L55" s="56" t="s"/>
      <c r="M55" s="63">
        <v>44</v>
      </c>
      <c r="N55" s="56" t="s"/>
      <c r="O55" s="56" t="s"/>
      <c r="P55" s="63">
        <v>44</v>
      </c>
      <c r="Q55" s="61" t="s"/>
      <c r="R55" s="61" t="s"/>
      <c r="S55" s="56" t="s"/>
      <c r="T55" s="56" t="s"/>
      <c r="U55" s="56" t="s"/>
      <c r="V55" s="56" t="s"/>
      <c r="BE55" s="5" t="s"/>
    </row>
    <row r="56" spans="7:57" ht="30" customHeight="1">
      <c r="G56" s="60">
        <v>45</v>
      </c>
      <c r="J56" s="60">
        <v>45</v>
      </c>
      <c r="K56" s="56" t="s"/>
      <c r="L56" s="56" t="s"/>
      <c r="M56" s="60">
        <v>45</v>
      </c>
      <c r="N56" s="56" t="s"/>
      <c r="O56" s="56" t="s"/>
      <c r="P56" s="60">
        <v>45</v>
      </c>
      <c r="Q56" s="48" t="s"/>
      <c r="R56" s="48" t="s"/>
      <c r="S56" s="56" t="s"/>
      <c r="T56" s="56" t="s"/>
      <c r="U56" s="56" t="s"/>
      <c r="V56" s="56" t="s"/>
      <c r="BE56" s="5" t="s"/>
    </row>
    <row r="57" spans="7:57" ht="30" customHeight="1">
      <c r="G57" s="60">
        <v>46</v>
      </c>
      <c r="J57" s="60">
        <v>46</v>
      </c>
      <c r="K57" s="56" t="s"/>
      <c r="L57" s="56" t="s"/>
      <c r="M57" s="60">
        <v>46</v>
      </c>
      <c r="N57" s="56" t="s"/>
      <c r="O57" s="56" t="s"/>
      <c r="P57" s="60">
        <v>46</v>
      </c>
      <c r="Q57" s="48" t="s"/>
      <c r="R57" s="48" t="s"/>
      <c r="S57" s="56" t="s"/>
      <c r="T57" s="56" t="s"/>
      <c r="U57" s="56" t="s"/>
      <c r="V57" s="56" t="s"/>
      <c r="BE57" s="5" t="s"/>
    </row>
    <row r="58" spans="7:57" ht="30" customHeight="1">
      <c r="G58" s="60">
        <v>47</v>
      </c>
      <c r="J58" s="60">
        <v>47</v>
      </c>
      <c r="K58" s="56" t="s"/>
      <c r="L58" s="56" t="s"/>
      <c r="M58" s="60">
        <v>47</v>
      </c>
      <c r="N58" s="56" t="s"/>
      <c r="O58" s="56" t="s"/>
      <c r="P58" s="60">
        <v>47</v>
      </c>
      <c r="Q58" s="48" t="s"/>
      <c r="R58" s="48" t="s"/>
      <c r="S58" s="56" t="s"/>
      <c r="T58" s="56" t="s"/>
      <c r="U58" s="56" t="s"/>
      <c r="V58" s="56" t="s"/>
      <c r="BE58" s="5" t="s"/>
    </row>
    <row r="59" spans="7:57" ht="30" customHeight="1">
      <c r="G59" s="63">
        <v>48</v>
      </c>
      <c r="J59" s="63">
        <v>48</v>
      </c>
      <c r="K59" s="56" t="s"/>
      <c r="L59" s="56" t="s"/>
      <c r="M59" s="63">
        <v>48</v>
      </c>
      <c r="N59" s="56" t="s"/>
      <c r="O59" s="56" t="s"/>
      <c r="P59" s="63">
        <v>48</v>
      </c>
      <c r="Q59" s="61" t="s"/>
      <c r="R59" s="61" t="s"/>
      <c r="S59" s="56" t="s"/>
      <c r="T59" s="56" t="s"/>
      <c r="U59" s="56" t="s"/>
      <c r="V59" s="56" t="s"/>
      <c r="BE59" s="5" t="s"/>
    </row>
    <row r="60" spans="7:57" ht="30" customHeight="1">
      <c r="G60" s="63">
        <v>49</v>
      </c>
      <c r="J60" s="63">
        <v>49</v>
      </c>
      <c r="K60" s="56" t="s"/>
      <c r="L60" s="56" t="s"/>
      <c r="M60" s="63">
        <v>49</v>
      </c>
      <c r="N60" s="56" t="s"/>
      <c r="O60" s="56" t="s"/>
      <c r="P60" s="63">
        <v>49</v>
      </c>
      <c r="Q60" s="61" t="s"/>
      <c r="R60" s="61" t="s"/>
      <c r="S60" s="56" t="s"/>
      <c r="T60" s="56" t="s"/>
      <c r="U60" s="56" t="s"/>
      <c r="V60" s="56" t="s"/>
      <c r="BE60" s="5" t="s"/>
    </row>
    <row r="61" spans="7:57" ht="30" customHeight="1">
      <c r="G61" s="60">
        <v>50</v>
      </c>
      <c r="J61" s="60">
        <v>50</v>
      </c>
      <c r="K61" s="56" t="s"/>
      <c r="L61" s="56" t="s"/>
      <c r="M61" s="60">
        <v>50</v>
      </c>
      <c r="N61" s="56" t="s"/>
      <c r="O61" s="56" t="s"/>
      <c r="P61" s="60">
        <v>50</v>
      </c>
      <c r="Q61" s="48" t="s"/>
      <c r="R61" s="48" t="s"/>
      <c r="S61" s="56" t="s"/>
      <c r="T61" s="56" t="s"/>
      <c r="U61" s="56" t="s"/>
      <c r="V61" s="56" t="s"/>
      <c r="BE61" s="5" t="s"/>
    </row>
    <row r="62" spans="57:57" ht="30" customHeight="1">
      <c r="BE62" s="5" t="s"/>
    </row>
    <row r="63" spans="57:57" ht="30" customHeight="1">
      <c r="BE63" s="5" t="s"/>
    </row>
    <row r="64" spans="57:57" ht="30" customHeight="1">
      <c r="BE64" s="5" t="s"/>
    </row>
    <row r="65" spans="57:57" ht="30" customHeight="1">
      <c r="BE65" s="5" t="s"/>
    </row>
    <row r="66" spans="57:57" ht="30" customHeight="1">
      <c r="BE66" s="5" t="s"/>
    </row>
    <row r="67" spans="57:57" ht="30" customHeight="1">
      <c r="BE67" s="5" t="s"/>
    </row>
    <row r="68" spans="57:57" ht="30" customHeight="1">
      <c r="BE68" s="5" t="s"/>
    </row>
    <row r="69" spans="57:57" ht="30" customHeight="1">
      <c r="BE69" s="5" t="s"/>
    </row>
    <row r="70" spans="57:57" ht="30" customHeight="1">
      <c r="BE70" s="5" t="s"/>
    </row>
    <row r="71" spans="57:57" ht="30" customHeight="1">
      <c r="BE71" s="5" t="s"/>
    </row>
    <row r="72" spans="57:57" ht="30" customHeight="1">
      <c r="BE72" s="5" t="s"/>
    </row>
    <row r="73" spans="57:57" ht="30" customHeight="1">
      <c r="BE73" s="5" t="s"/>
    </row>
    <row r="74" spans="57:57" ht="30" customHeight="1">
      <c r="BE74" s="5" t="s"/>
    </row>
    <row r="75" spans="57:57" ht="30" customHeight="1">
      <c r="BE75" s="5" t="s"/>
    </row>
    <row r="76" spans="57:57" ht="30" customHeight="1">
      <c r="BE76" s="5" t="s"/>
    </row>
    <row r="77" spans="57:57" ht="30" customHeight="1">
      <c r="BE77" s="5" t="s"/>
    </row>
    <row r="78" spans="57:57" ht="30" customHeight="1">
      <c r="BE78" s="5" t="s"/>
    </row>
    <row r="79" spans="57:57" ht="30" customHeight="1">
      <c r="BE79" s="5" t="s"/>
    </row>
    <row r="80" spans="57:57" ht="30" customHeight="1">
      <c r="BE80" s="5" t="s"/>
    </row>
    <row r="81" spans="57:57" ht="30" customHeight="1">
      <c r="BE81" s="5" t="s"/>
    </row>
    <row r="82" spans="57:57" ht="30" customHeight="1">
      <c r="BE82" s="5" t="s"/>
    </row>
    <row r="83" spans="57:57" ht="30" customHeight="1">
      <c r="BE83" s="5" t="s"/>
    </row>
    <row r="84" spans="57:57" ht="30" customHeight="1">
      <c r="BE84" s="5" t="s"/>
    </row>
    <row r="85" spans="57:57" ht="30" customHeight="1">
      <c r="BE85" s="5" t="s"/>
    </row>
    <row r="86" spans="57:57" ht="30" customHeight="1">
      <c r="BE86" s="5" t="s"/>
    </row>
    <row r="87" spans="57:57" ht="30" customHeight="1">
      <c r="BE87" s="5" t="s"/>
    </row>
    <row r="88" spans="57:57" ht="30" customHeight="1">
      <c r="BE88" s="5" t="s"/>
    </row>
    <row r="89" spans="57:57" ht="30" customHeight="1">
      <c r="BE89" s="5" t="s"/>
    </row>
    <row r="90" spans="57:57" ht="30" customHeight="1">
      <c r="BE90" s="5" t="s"/>
    </row>
    <row r="91" spans="57:57" ht="30" customHeight="1">
      <c r="BE91" s="5" t="s"/>
    </row>
    <row r="92" spans="57:57" ht="30" customHeight="1">
      <c r="BE92" s="5" t="s"/>
    </row>
    <row r="93" spans="57:57" ht="30" customHeight="1">
      <c r="BE93" s="5" t="s"/>
    </row>
    <row r="94" spans="57:57" ht="30" customHeight="1">
      <c r="BE94" s="5" t="s"/>
    </row>
    <row r="95" spans="57:57" ht="30" customHeight="1">
      <c r="BE95" s="5" t="s"/>
    </row>
    <row r="96" spans="57:57" ht="30" customHeight="1">
      <c r="BE96" s="5" t="s"/>
    </row>
    <row r="97" spans="57:57" ht="30" customHeight="1">
      <c r="BE97" s="5" t="s"/>
    </row>
    <row r="98" spans="57:57" ht="30" customHeight="1">
      <c r="BE98" s="5" t="s"/>
    </row>
    <row r="99" spans="57:57" ht="30" customHeight="1">
      <c r="BE99" s="5" t="s"/>
    </row>
    <row r="100" spans="57:57" ht="30" customHeight="1">
      <c r="BE100" s="5" t="s"/>
    </row>
    <row r="101" spans="57:57" ht="30" customHeight="1">
      <c r="BE101" s="5" t="s"/>
    </row>
    <row r="102" spans="57:57" ht="30" customHeight="1">
      <c r="BE102" s="5" t="s"/>
    </row>
    <row r="103" spans="57:57" ht="30" customHeight="1">
      <c r="BE103" s="5" t="s"/>
    </row>
    <row r="104" spans="57:57" ht="30" customHeight="1">
      <c r="BE104" s="5" t="s"/>
    </row>
    <row r="105" spans="57:57" ht="30" customHeight="1">
      <c r="BE105" s="5" t="s"/>
    </row>
    <row r="106" spans="57:57" ht="30" customHeight="1">
      <c r="BE106" s="5" t="s"/>
    </row>
    <row r="107" spans="57:57" ht="30" customHeight="1">
      <c r="BE107" s="5" t="s"/>
    </row>
    <row r="108" spans="57:57" ht="30" customHeight="1">
      <c r="BE108" s="5" t="s"/>
    </row>
    <row r="109" spans="57:57" ht="30" customHeight="1">
      <c r="BE109" s="5" t="s"/>
    </row>
    <row r="110" spans="57:57" ht="30" customHeight="1">
      <c r="BE110" s="5" t="s"/>
    </row>
    <row r="111" spans="57:57" ht="30" customHeight="1">
      <c r="BE111" s="5" t="s"/>
    </row>
    <row r="112" spans="57:57" ht="30" customHeight="1">
      <c r="BE112" s="5" t="s"/>
    </row>
    <row r="113" spans="57:57" ht="30" customHeight="1">
      <c r="BE113" s="5" t="s"/>
    </row>
    <row r="114" spans="57:57" ht="30" customHeight="1">
      <c r="BE114" s="5" t="s"/>
    </row>
    <row r="115" spans="57:57" ht="30" customHeight="1">
      <c r="BE115" s="5" t="s"/>
    </row>
    <row r="116" spans="57:57" ht="30" customHeight="1">
      <c r="BE116" s="5" t="s"/>
    </row>
    <row r="117" spans="57:57" ht="30" customHeight="1">
      <c r="BE117" s="5" t="s"/>
    </row>
    <row r="118" spans="57:57" ht="30" customHeight="1">
      <c r="BE118" s="5" t="s"/>
    </row>
    <row r="119" spans="57:57" ht="30" customHeight="1">
      <c r="BE119" s="5" t="s"/>
    </row>
    <row r="120" spans="57:57" ht="30" customHeight="1">
      <c r="BE120" s="5" t="s"/>
    </row>
    <row r="121" spans="57:57" ht="30" customHeight="1">
      <c r="BE121" s="5" t="s"/>
    </row>
    <row r="122" spans="57:57" ht="30" customHeight="1">
      <c r="BE122" s="5" t="s"/>
    </row>
    <row r="123" spans="57:57" ht="30" customHeight="1">
      <c r="BE123" s="5" t="s"/>
    </row>
    <row r="124" spans="57:57" ht="30" customHeight="1">
      <c r="BE124" s="5" t="s"/>
    </row>
    <row r="125" spans="57:57" ht="30" customHeight="1">
      <c r="BE125" s="5" t="s"/>
    </row>
    <row r="126" spans="57:57" ht="30" customHeight="1">
      <c r="BE126" s="5" t="s"/>
    </row>
    <row r="127" spans="57:57" ht="30" customHeight="1">
      <c r="BE127" s="5" t="s"/>
    </row>
    <row r="128" spans="57:57" ht="30" customHeight="1">
      <c r="BE128" s="5" t="s"/>
    </row>
    <row r="129" spans="57:57" ht="30" customHeight="1">
      <c r="BE129" s="5" t="s"/>
    </row>
    <row r="130" spans="3:57" ht="30" customHeight="1">
      <c r="C130" s="56" t="s"/>
      <c r="BE130" s="5" t="s"/>
    </row>
    <row r="131" spans="3:57" ht="30" customHeight="1">
      <c r="C131" s="56" t="s"/>
      <c r="BE131" s="5" t="s"/>
    </row>
    <row r="132" spans="1:57" s="115" customFormat="1" ht="30" customHeight="1">
      <c r="A132" s="67" t="s"/>
      <c r="B132" s="67" t="s"/>
      <c r="C132" s="68" t="s"/>
      <c r="D132" s="69" t="s">
        <v>5</v>
      </c>
      <c r="E132" s="67">
        <v>1</v>
      </c>
      <c r="F132" s="67">
        <v>2</v>
      </c>
      <c r="G132" s="67">
        <v>3</v>
      </c>
      <c r="H132" s="67">
        <v>4</v>
      </c>
      <c r="I132" s="67">
        <v>5</v>
      </c>
      <c r="J132" s="67">
        <v>6</v>
      </c>
      <c r="K132" s="67">
        <v>7</v>
      </c>
      <c r="L132" s="67">
        <v>8</v>
      </c>
      <c r="M132" s="67">
        <v>9</v>
      </c>
      <c r="N132" s="67">
        <v>10</v>
      </c>
      <c r="O132" s="67">
        <v>11</v>
      </c>
      <c r="P132" s="67">
        <v>12</v>
      </c>
      <c r="Q132" s="67">
        <v>13</v>
      </c>
      <c r="R132" s="67">
        <v>14</v>
      </c>
      <c r="S132" s="67">
        <v>15</v>
      </c>
      <c r="T132" s="67">
        <v>16</v>
      </c>
      <c r="U132" s="67">
        <v>17</v>
      </c>
      <c r="V132" s="67">
        <v>18</v>
      </c>
      <c r="W132" s="67">
        <v>19</v>
      </c>
      <c r="X132" s="67">
        <v>20</v>
      </c>
      <c r="Y132" s="67">
        <v>21</v>
      </c>
      <c r="Z132" s="67">
        <v>22</v>
      </c>
      <c r="AA132" s="67">
        <v>23</v>
      </c>
      <c r="AB132" s="67">
        <v>24</v>
      </c>
      <c r="AC132" s="67">
        <v>25</v>
      </c>
      <c r="AD132" s="67">
        <v>26</v>
      </c>
      <c r="AE132" s="67">
        <v>27</v>
      </c>
      <c r="AF132" s="67">
        <v>28</v>
      </c>
      <c r="AG132" s="67">
        <v>29</v>
      </c>
      <c r="AH132" s="67">
        <v>30</v>
      </c>
      <c r="AI132" s="67">
        <v>31</v>
      </c>
      <c r="AJ132" s="67">
        <v>32</v>
      </c>
      <c r="AK132" s="67">
        <v>33</v>
      </c>
      <c r="AL132" s="67">
        <v>34</v>
      </c>
      <c r="AM132" s="67">
        <v>35</v>
      </c>
      <c r="AN132" s="67">
        <v>36</v>
      </c>
      <c r="AO132" s="67">
        <v>37</v>
      </c>
      <c r="AP132" s="67">
        <v>38</v>
      </c>
      <c r="AQ132" s="67">
        <v>39</v>
      </c>
      <c r="AR132" s="67">
        <v>40</v>
      </c>
      <c r="AS132" s="67">
        <v>41</v>
      </c>
      <c r="AT132" s="67">
        <v>42</v>
      </c>
      <c r="AU132" s="67">
        <v>43</v>
      </c>
      <c r="AV132" s="67">
        <v>44</v>
      </c>
      <c r="AW132" s="67">
        <v>45</v>
      </c>
      <c r="AX132" s="67">
        <v>46</v>
      </c>
      <c r="AY132" s="67">
        <v>47</v>
      </c>
      <c r="AZ132" s="67">
        <v>48</v>
      </c>
      <c r="BA132" s="67">
        <v>49</v>
      </c>
      <c r="BB132" s="67">
        <v>50</v>
      </c>
      <c r="BC132" s="67">
        <v>51</v>
      </c>
      <c r="BD132" s="67">
        <v>52</v>
      </c>
      <c r="BE132" s="67">
        <v>2</v>
      </c>
    </row>
    <row r="133" spans="1:57" ht="30" customHeight="1">
      <c r="A133" s="70" t="s"/>
      <c r="B133" s="70" t="s"/>
      <c r="C133" s="68" t="s"/>
      <c r="D133" s="16" t="s">
        <v>24</v>
      </c>
      <c r="E133" s="70">
        <v>3</v>
      </c>
      <c r="F133" s="70">
        <v>3</v>
      </c>
      <c r="G133" s="70">
        <v>3</v>
      </c>
      <c r="H133" s="70">
        <v>2</v>
      </c>
      <c r="I133" s="70">
        <v>2</v>
      </c>
      <c r="J133" s="70">
        <v>2</v>
      </c>
      <c r="K133" s="70">
        <v>1</v>
      </c>
      <c r="L133" s="70">
        <v>2</v>
      </c>
      <c r="M133" s="70">
        <v>3</v>
      </c>
      <c r="N133" s="70" t="s"/>
      <c r="O133" s="70" t="s"/>
      <c r="P133" s="70" t="s"/>
      <c r="Q133" s="70" t="s"/>
      <c r="R133" s="70" t="s"/>
      <c r="S133" s="70" t="s"/>
      <c r="T133" s="70" t="s"/>
      <c r="U133" s="70" t="s"/>
      <c r="V133" s="70" t="s"/>
      <c r="W133" s="70" t="s"/>
      <c r="X133" s="70" t="s"/>
      <c r="Y133" s="70" t="s"/>
      <c r="Z133" s="70" t="s"/>
      <c r="AA133" s="70" t="s"/>
      <c r="AB133" s="70" t="s"/>
      <c r="AC133" s="70" t="s"/>
      <c r="AD133" s="70" t="s"/>
      <c r="AE133" s="70" t="s"/>
      <c r="AF133" s="70" t="s"/>
      <c r="AG133" s="70" t="s"/>
      <c r="AH133" s="70" t="s"/>
      <c r="AI133" s="70" t="s"/>
      <c r="AJ133" s="70" t="s"/>
      <c r="AK133" s="70" t="s"/>
      <c r="AL133" s="70" t="s"/>
      <c r="AM133" s="70" t="s"/>
      <c r="AN133" s="70" t="s"/>
      <c r="AO133" s="70" t="s"/>
      <c r="AP133" s="70" t="s"/>
      <c r="AQ133" s="70" t="s"/>
      <c r="AR133" s="70" t="s"/>
      <c r="AS133" s="70" t="s"/>
      <c r="AT133" s="70" t="s"/>
      <c r="AU133" s="70" t="s"/>
      <c r="AV133" s="70" t="s"/>
      <c r="AW133" s="70" t="s"/>
      <c r="AX133" s="70" t="s"/>
      <c r="AY133" s="70" t="s"/>
      <c r="AZ133" s="70" t="s"/>
      <c r="BA133" s="70" t="s"/>
      <c r="BB133" s="70" t="s"/>
      <c r="BC133" s="70" t="s"/>
      <c r="BD133" s="70" t="s"/>
      <c r="BE133" s="70" t="s"/>
    </row>
    <row r="134" spans="1:57" ht="30" customHeight="1">
      <c r="A134" s="71" t="s"/>
      <c r="B134" s="71" t="s"/>
      <c r="C134" s="72" t="s"/>
      <c r="D134" s="18" t="s">
        <v>25</v>
      </c>
      <c r="E134" s="71">
        <v>2</v>
      </c>
      <c r="F134" s="71">
        <v>2</v>
      </c>
      <c r="G134" s="71">
        <v>1</v>
      </c>
      <c r="H134" s="71">
        <v>4</v>
      </c>
      <c r="I134" s="71">
        <v>3</v>
      </c>
      <c r="J134" s="71">
        <v>4</v>
      </c>
      <c r="K134" s="71">
        <v>3</v>
      </c>
      <c r="L134" s="71">
        <v>4</v>
      </c>
      <c r="M134" s="71">
        <v>2</v>
      </c>
      <c r="N134" s="71" t="s"/>
      <c r="O134" s="71" t="s"/>
      <c r="P134" s="71" t="s"/>
      <c r="Q134" s="71" t="s"/>
      <c r="R134" s="71" t="s"/>
      <c r="S134" s="71" t="s"/>
      <c r="T134" s="71" t="s"/>
      <c r="U134" s="71" t="s"/>
      <c r="V134" s="71" t="s"/>
      <c r="W134" s="71" t="s"/>
      <c r="X134" s="71" t="s"/>
      <c r="Y134" s="71" t="s"/>
      <c r="Z134" s="71" t="s"/>
      <c r="AA134" s="71" t="s"/>
      <c r="AB134" s="71" t="s"/>
      <c r="AC134" s="71" t="s"/>
      <c r="AD134" s="71" t="s"/>
      <c r="AE134" s="71" t="s"/>
      <c r="AF134" s="71" t="s"/>
      <c r="AG134" s="71" t="s"/>
      <c r="AH134" s="71" t="s"/>
      <c r="AI134" s="71" t="s"/>
      <c r="AJ134" s="71" t="s"/>
      <c r="AK134" s="71" t="s"/>
      <c r="AL134" s="71" t="s"/>
      <c r="AM134" s="71" t="s"/>
      <c r="AN134" s="71" t="s"/>
      <c r="AO134" s="71" t="s"/>
      <c r="AP134" s="71" t="s"/>
      <c r="AQ134" s="71" t="s"/>
      <c r="AR134" s="71" t="s"/>
      <c r="AS134" s="71" t="s"/>
      <c r="AT134" s="71" t="s"/>
      <c r="AU134" s="71" t="s"/>
      <c r="AV134" s="71" t="s"/>
      <c r="AW134" s="71" t="s"/>
      <c r="AX134" s="71" t="s"/>
      <c r="AY134" s="71" t="s"/>
      <c r="AZ134" s="71" t="s"/>
      <c r="BA134" s="71" t="s"/>
      <c r="BB134" s="71" t="s"/>
      <c r="BC134" s="71" t="s"/>
      <c r="BD134" s="71" t="s"/>
      <c r="BE134" s="71" t="s"/>
    </row>
    <row r="135" spans="1:57" ht="30" customHeight="1">
      <c r="A135" s="73" t="s"/>
      <c r="B135" s="73" t="s"/>
      <c r="C135" s="74" t="s"/>
      <c r="D135" s="18" t="s">
        <v>26</v>
      </c>
      <c r="E135" s="73">
        <v>1</v>
      </c>
      <c r="F135" s="73">
        <v>1</v>
      </c>
      <c r="G135" s="73">
        <v>4</v>
      </c>
      <c r="H135" s="73">
        <v>3</v>
      </c>
      <c r="I135" s="73">
        <v>1</v>
      </c>
      <c r="J135" s="73">
        <v>1</v>
      </c>
      <c r="K135" s="73">
        <v>4</v>
      </c>
      <c r="L135" s="73">
        <v>1</v>
      </c>
      <c r="M135" s="73">
        <v>1</v>
      </c>
      <c r="N135" s="73" t="s"/>
      <c r="O135" s="73" t="s"/>
      <c r="P135" s="73" t="s"/>
      <c r="Q135" s="73" t="s"/>
      <c r="R135" s="73" t="s"/>
      <c r="S135" s="73" t="s"/>
      <c r="T135" s="73" t="s"/>
      <c r="U135" s="73" t="s"/>
      <c r="V135" s="73" t="s"/>
      <c r="W135" s="73" t="s"/>
      <c r="X135" s="73" t="s"/>
      <c r="Y135" s="73" t="s"/>
      <c r="Z135" s="73" t="s"/>
      <c r="AA135" s="73" t="s"/>
      <c r="AB135" s="73" t="s"/>
      <c r="AC135" s="73" t="s"/>
      <c r="AD135" s="73" t="s"/>
      <c r="AE135" s="73" t="s"/>
      <c r="AF135" s="73" t="s"/>
      <c r="AG135" s="73" t="s"/>
      <c r="AH135" s="73" t="s"/>
      <c r="AI135" s="73" t="s"/>
      <c r="AJ135" s="73" t="s"/>
      <c r="AK135" s="73" t="s"/>
      <c r="AL135" s="73" t="s"/>
      <c r="AM135" s="73" t="s"/>
      <c r="AN135" s="73" t="s"/>
      <c r="AO135" s="73" t="s"/>
      <c r="AP135" s="73" t="s"/>
      <c r="AQ135" s="73" t="s"/>
      <c r="AR135" s="73" t="s"/>
      <c r="AS135" s="73" t="s"/>
      <c r="AT135" s="73" t="s"/>
      <c r="AU135" s="73" t="s"/>
      <c r="AV135" s="73" t="s"/>
      <c r="AW135" s="73" t="s"/>
      <c r="AX135" s="73" t="s"/>
      <c r="AY135" s="73" t="s"/>
      <c r="AZ135" s="73" t="s"/>
      <c r="BA135" s="73" t="s"/>
      <c r="BB135" s="73" t="s"/>
      <c r="BC135" s="73" t="s"/>
      <c r="BD135" s="73" t="s"/>
      <c r="BE135" s="73" t="s"/>
    </row>
    <row r="136" spans="1:57" ht="30" customHeight="1">
      <c r="A136" s="75" t="s"/>
      <c r="B136" s="75" t="s"/>
      <c r="C136" s="72" t="s"/>
      <c r="D136" s="34" t="s">
        <v>27</v>
      </c>
      <c r="E136" s="75">
        <v>4</v>
      </c>
      <c r="F136" s="75">
        <v>4</v>
      </c>
      <c r="G136" s="75">
        <v>2</v>
      </c>
      <c r="H136" s="75">
        <v>1</v>
      </c>
      <c r="I136" s="75">
        <v>4</v>
      </c>
      <c r="J136" s="75">
        <v>3</v>
      </c>
      <c r="K136" s="75">
        <v>2</v>
      </c>
      <c r="L136" s="75">
        <v>3</v>
      </c>
      <c r="M136" s="75">
        <v>4</v>
      </c>
      <c r="N136" s="75" t="s"/>
      <c r="O136" s="75" t="s"/>
      <c r="P136" s="75" t="s"/>
      <c r="Q136" s="75" t="s"/>
      <c r="R136" s="75" t="s"/>
      <c r="S136" s="75" t="s"/>
      <c r="T136" s="75" t="s"/>
      <c r="U136" s="75" t="s"/>
      <c r="V136" s="75" t="s"/>
      <c r="W136" s="75" t="s"/>
      <c r="X136" s="75" t="s"/>
      <c r="Y136" s="75" t="s"/>
      <c r="Z136" s="75" t="s"/>
      <c r="AA136" s="75" t="s"/>
      <c r="AB136" s="75" t="s"/>
      <c r="AC136" s="75" t="s"/>
      <c r="AD136" s="75" t="s"/>
      <c r="AE136" s="75" t="s"/>
      <c r="AF136" s="75" t="s"/>
      <c r="AG136" s="75" t="s"/>
      <c r="AH136" s="75" t="s"/>
      <c r="AI136" s="75" t="s"/>
      <c r="AJ136" s="75" t="s"/>
      <c r="AK136" s="75" t="s"/>
      <c r="AL136" s="75" t="s"/>
      <c r="AM136" s="75" t="s"/>
      <c r="AN136" s="75" t="s"/>
      <c r="AO136" s="75" t="s"/>
      <c r="AP136" s="75" t="s"/>
      <c r="AQ136" s="75" t="s"/>
      <c r="AR136" s="75" t="s"/>
      <c r="AS136" s="75" t="s"/>
      <c r="AT136" s="75" t="s"/>
      <c r="AU136" s="75" t="s"/>
      <c r="AV136" s="75" t="s"/>
      <c r="AW136" s="75" t="s"/>
      <c r="AX136" s="75" t="s"/>
      <c r="AY136" s="75" t="s"/>
      <c r="AZ136" s="75" t="s"/>
      <c r="BA136" s="75" t="s"/>
      <c r="BB136" s="75" t="s"/>
      <c r="BC136" s="75" t="s"/>
      <c r="BD136" s="75" t="s"/>
      <c r="BE136" s="75" t="s"/>
    </row>
    <row r="137" spans="3:57" ht="30" customHeight="1">
      <c r="C137" s="56" t="s"/>
      <c r="D137" s="6" t="s">
        <v>1</v>
      </c>
      <c r="E137" s="7">
        <f>=E2</f>
        <v>9</v>
      </c>
      <c r="BE137" s="5" t="s"/>
    </row>
    <row r="138" spans="57:57" ht="30" customHeight="1">
      <c r="BE138" s="5" t="s"/>
    </row>
    <row r="139" spans="57:57" ht="30" customHeight="1">
      <c r="BE139" s="5" t="s"/>
    </row>
    <row r="140" spans="57:57" ht="30" customHeight="1">
      <c r="BE140" s="5" t="s"/>
    </row>
    <row r="141" spans="57:57" ht="30" customHeight="1">
      <c r="BE141" s="5" t="s"/>
    </row>
    <row r="142" spans="57:57" ht="30" customHeight="1">
      <c r="BE142" s="5" t="s"/>
    </row>
    <row r="143" spans="57:57" ht="30" customHeight="1">
      <c r="BE143" s="5" t="s"/>
    </row>
    <row r="144" spans="57:57" ht="30" customHeight="1">
      <c r="BE144" s="5" t="s"/>
    </row>
    <row r="145" spans="57:57" ht="30" customHeight="1">
      <c r="BE145" s="5" t="s"/>
    </row>
    <row r="146" spans="57:57" ht="30" customHeight="1">
      <c r="BE146" s="5" t="s"/>
    </row>
    <row r="147" spans="57:57" ht="30" customHeight="1">
      <c r="BE147" s="5" t="s"/>
    </row>
    <row r="148" spans="57:57" ht="30" customHeight="1">
      <c r="BE148" s="5" t="s"/>
    </row>
    <row r="149" spans="57:57" ht="30" customHeight="1">
      <c r="BE149" s="5" t="s"/>
    </row>
    <row r="150" spans="57:57" ht="30" customHeight="1">
      <c r="BE150" s="5" t="s"/>
    </row>
    <row r="151" spans="57:57" ht="30" customHeight="1">
      <c r="BE151" s="5" t="s"/>
    </row>
    <row r="152" spans="57:57" ht="30" customHeight="1">
      <c r="BE152" s="5" t="s"/>
    </row>
    <row r="153" spans="57:57" ht="30" customHeight="1">
      <c r="BE153" s="5" t="s"/>
    </row>
    <row r="154" spans="57:57" ht="30" customHeight="1">
      <c r="BE154" s="5" t="s"/>
    </row>
    <row r="155" spans="57:57" ht="30" customHeight="1">
      <c r="BE155" s="5" t="s"/>
    </row>
    <row r="156" spans="57:57" ht="30" customHeight="1">
      <c r="BE156" s="5" t="s"/>
    </row>
    <row r="157" spans="57:57" ht="30" customHeight="1">
      <c r="BE157" s="5" t="s"/>
    </row>
    <row r="158" spans="57:57" ht="30" customHeight="1">
      <c r="BE158" s="5" t="s"/>
    </row>
    <row r="159" spans="57:57" ht="30" customHeight="1">
      <c r="BE159" s="5" t="s"/>
    </row>
    <row r="160" spans="57:57" ht="30" customHeight="1">
      <c r="BE160" s="5" t="s"/>
    </row>
    <row r="161" spans="57:57" ht="30" customHeight="1">
      <c r="BE161" s="5" t="s"/>
    </row>
    <row r="162" spans="57:57" ht="30" customHeight="1">
      <c r="BE162" s="5" t="s"/>
    </row>
    <row r="163" spans="57:57" ht="30" customHeight="1">
      <c r="BE163" s="5" t="s"/>
    </row>
    <row r="164" spans="57:57" ht="30" customHeight="1">
      <c r="BE164" s="5" t="s"/>
    </row>
    <row r="165" spans="57:57" ht="30" customHeight="1">
      <c r="BE165" s="5" t="s"/>
    </row>
    <row r="166" spans="57:57" ht="30" customHeight="1">
      <c r="BE166" s="5" t="s"/>
    </row>
    <row r="167" spans="57:57" ht="30" customHeight="1">
      <c r="BE167" s="5" t="s"/>
    </row>
    <row r="168" spans="57:57" ht="30" customHeight="1">
      <c r="BE168" s="5" t="s"/>
    </row>
    <row r="169" spans="57:57" ht="30" customHeight="1">
      <c r="BE169" s="5" t="s"/>
    </row>
    <row r="170" spans="57:57" ht="30" customHeight="1">
      <c r="BE170" s="5" t="s"/>
    </row>
    <row r="171" spans="57:57" ht="30" customHeight="1">
      <c r="BE171" s="5" t="s"/>
    </row>
    <row r="172" spans="57:57" ht="30" customHeight="1">
      <c r="BE172" s="5" t="s"/>
    </row>
    <row r="173" spans="57:57" ht="30" customHeight="1">
      <c r="BE173" s="5" t="s"/>
    </row>
    <row r="174" spans="57:57" ht="30" customHeight="1">
      <c r="BE174" s="5" t="s"/>
    </row>
    <row r="175" spans="57:57" ht="30" customHeight="1">
      <c r="BE175" s="5" t="s"/>
    </row>
    <row r="176" spans="57:57" ht="30" customHeight="1">
      <c r="BE176" s="5" t="s"/>
    </row>
    <row r="177" spans="57:57" ht="30" customHeight="1">
      <c r="BE177" s="5" t="s"/>
    </row>
    <row r="178" spans="57:57" ht="30" customHeight="1">
      <c r="BE178" s="5" t="s"/>
    </row>
    <row r="179" spans="57:57" ht="30" customHeight="1">
      <c r="BE179" s="5" t="s"/>
    </row>
    <row r="180" spans="57:57" ht="30" customHeight="1">
      <c r="BE180" s="5" t="s"/>
    </row>
    <row r="181" spans="57:57" ht="30" customHeight="1">
      <c r="BE181" s="5" t="s"/>
    </row>
    <row r="182" spans="57:57" ht="30" customHeight="1">
      <c r="BE182" s="5" t="s"/>
    </row>
    <row r="183" spans="57:57" ht="30" customHeight="1">
      <c r="BE183" s="5" t="s"/>
    </row>
    <row r="184" spans="57:57" ht="30" customHeight="1">
      <c r="BE184" s="5" t="s"/>
    </row>
    <row r="185" spans="57:57" ht="30" customHeight="1">
      <c r="BE185" s="5" t="s"/>
    </row>
    <row r="186" spans="57:57" ht="30" customHeight="1">
      <c r="BE186" s="5" t="s"/>
    </row>
    <row r="187" spans="57:57" ht="30" customHeight="1">
      <c r="BE187" s="5" t="s"/>
    </row>
    <row r="188" spans="57:57" ht="30" customHeight="1">
      <c r="BE188" s="5" t="s"/>
    </row>
    <row r="189" spans="57:57" ht="30" customHeight="1">
      <c r="BE189" s="5" t="s"/>
    </row>
    <row r="190" spans="57:57" ht="30" customHeight="1">
      <c r="BE190" s="5" t="s"/>
    </row>
    <row r="191" spans="57:57" ht="30" customHeight="1">
      <c r="BE191" s="5" t="s"/>
    </row>
    <row r="192" spans="57:57" ht="30" customHeight="1">
      <c r="BE192" s="5" t="s"/>
    </row>
    <row r="193" spans="57:57" ht="30" customHeight="1">
      <c r="BE193" s="5" t="s"/>
    </row>
    <row r="194" spans="57:57" ht="30" customHeight="1">
      <c r="BE194" s="5" t="s"/>
    </row>
    <row r="195" spans="57:57" ht="30" customHeight="1">
      <c r="BE195" s="5" t="s"/>
    </row>
    <row r="196" spans="57:57" ht="30" customHeight="1">
      <c r="BE196" s="5" t="s"/>
    </row>
    <row r="197" spans="57:57" ht="30" customHeight="1">
      <c r="BE197" s="5" t="s"/>
    </row>
    <row r="198" spans="57:57" ht="30" customHeight="1">
      <c r="BE198" s="5" t="s"/>
    </row>
    <row r="199" spans="57:57" ht="30" customHeight="1">
      <c r="BE199" s="5" t="s"/>
    </row>
    <row r="200" spans="57:57" ht="30" customHeight="1">
      <c r="BE200" s="5" t="s"/>
    </row>
    <row r="201" spans="57:57" ht="30" customHeight="1">
      <c r="BE201" s="5" t="s"/>
    </row>
    <row r="202" spans="57:57" ht="30" customHeight="1">
      <c r="BE202" s="5" t="s"/>
    </row>
    <row r="203" spans="57:57" ht="30" customHeight="1">
      <c r="BE203" s="5" t="s"/>
    </row>
    <row r="204" spans="57:57" ht="30" customHeight="1">
      <c r="BE204" s="5" t="s"/>
    </row>
    <row r="205" spans="57:57" ht="30" customHeight="1">
      <c r="BE205" s="5" t="s"/>
    </row>
    <row r="206" spans="57:57" ht="30" customHeight="1">
      <c r="BE206" s="5" t="s"/>
    </row>
    <row r="207" spans="57:57" ht="30" customHeight="1">
      <c r="BE207" s="5" t="s"/>
    </row>
    <row r="208" spans="57:57" ht="30" customHeight="1">
      <c r="BE208" s="5" t="s"/>
    </row>
    <row r="209" spans="57:57" ht="30" customHeight="1">
      <c r="BE209" s="5" t="s"/>
    </row>
    <row r="210" spans="57:57" ht="30" customHeight="1">
      <c r="BE210" s="5" t="s"/>
    </row>
    <row r="211" spans="57:57" ht="30" customHeight="1">
      <c r="BE211" s="5" t="s"/>
    </row>
    <row r="212" spans="57:57" ht="30" customHeight="1">
      <c r="BE212" s="5" t="s"/>
    </row>
    <row r="213" spans="57:57" ht="30" customHeight="1">
      <c r="BE213" s="5" t="s"/>
    </row>
    <row r="214" spans="57:57" ht="30" customHeight="1">
      <c r="BE214" s="5" t="s"/>
    </row>
    <row r="215" spans="57:57" ht="30" customHeight="1">
      <c r="BE215" s="5" t="s"/>
    </row>
    <row r="216" spans="57:57" ht="30" customHeight="1">
      <c r="BE216" s="5" t="s"/>
    </row>
    <row r="217" spans="57:57" ht="30" customHeight="1">
      <c r="BE217" s="5" t="s"/>
    </row>
    <row r="218" spans="57:57" ht="30" customHeight="1">
      <c r="BE218" s="5" t="s"/>
    </row>
    <row r="219" spans="57:57" ht="30" customHeight="1">
      <c r="BE219" s="5" t="s"/>
    </row>
    <row r="220" spans="57:57" ht="30" customHeight="1">
      <c r="BE220" s="5" t="s"/>
    </row>
    <row r="221" spans="57:57" ht="30" customHeight="1">
      <c r="BE221" s="5" t="s"/>
    </row>
    <row r="222" spans="57:57" ht="30" customHeight="1">
      <c r="BE222" s="5" t="s"/>
    </row>
    <row r="223" spans="57:57" ht="30" customHeight="1">
      <c r="BE223" s="5" t="s"/>
    </row>
    <row r="224" spans="57:57" ht="30" customHeight="1">
      <c r="BE224" s="5" t="s"/>
    </row>
    <row r="225" spans="57:57" ht="30" customHeight="1">
      <c r="BE225" s="5" t="s"/>
    </row>
    <row r="226" spans="57:57" ht="30" customHeight="1">
      <c r="BE226" s="5" t="s"/>
    </row>
    <row r="227" spans="57:57" ht="30" customHeight="1">
      <c r="BE227" s="5" t="s"/>
    </row>
    <row r="228" spans="57:57" ht="30" customHeight="1">
      <c r="BE228" s="5" t="s"/>
    </row>
    <row r="229" spans="57:57" ht="30" customHeight="1">
      <c r="BE229" s="5" t="s"/>
    </row>
    <row r="230" spans="57:57" ht="30" customHeight="1">
      <c r="BE230" s="5" t="s"/>
    </row>
    <row r="231" spans="57:57" ht="30" customHeight="1">
      <c r="BE231" s="5" t="s"/>
    </row>
    <row r="232" spans="57:57" ht="30" customHeight="1">
      <c r="BE232" s="5" t="s"/>
    </row>
    <row r="233" spans="57:57" ht="30" customHeight="1">
      <c r="BE233" s="5" t="s"/>
    </row>
    <row r="234" spans="57:57" ht="30" customHeight="1">
      <c r="BE234" s="5" t="s"/>
    </row>
    <row r="235" spans="57:57" ht="30" customHeight="1">
      <c r="BE235" s="5" t="s"/>
    </row>
    <row r="236" spans="57:57" ht="30" customHeight="1">
      <c r="BE236" s="5" t="s"/>
    </row>
    <row r="237" spans="57:57" ht="30" customHeight="1">
      <c r="BE237" s="5" t="s"/>
    </row>
    <row r="238" spans="57:57" ht="30" customHeight="1">
      <c r="BE238" s="5" t="s"/>
    </row>
    <row r="239" spans="57:57" ht="30" customHeight="1">
      <c r="BE239" s="5" t="s"/>
    </row>
    <row r="240" spans="57:57" ht="30" customHeight="1">
      <c r="BE240" s="5" t="s"/>
    </row>
    <row r="241" spans="57:57" ht="30" customHeight="1">
      <c r="BE241" s="5" t="s"/>
    </row>
    <row r="242" spans="57:57" ht="30" customHeight="1">
      <c r="BE242" s="5" t="s"/>
    </row>
    <row r="243" spans="57:57" ht="30" customHeight="1">
      <c r="BE243" s="5" t="s"/>
    </row>
    <row r="244" spans="57:57" ht="30" customHeight="1">
      <c r="BE244" s="5" t="s"/>
    </row>
    <row r="245" spans="57:57" ht="30" customHeight="1">
      <c r="BE245" s="5" t="s"/>
    </row>
    <row r="246" spans="57:57" ht="30" customHeight="1">
      <c r="BE246" s="5" t="s"/>
    </row>
    <row r="247" spans="57:57" ht="30" customHeight="1">
      <c r="BE247" s="5" t="s"/>
    </row>
    <row r="248" spans="57:57" ht="30" customHeight="1">
      <c r="BE248" s="5" t="s"/>
    </row>
    <row r="249" spans="57:57" ht="30" customHeight="1">
      <c r="BE249" s="5" t="s"/>
    </row>
    <row r="250" spans="57:57" ht="30" customHeight="1">
      <c r="BE250" s="5" t="s"/>
    </row>
    <row r="251" spans="57:57" ht="30" customHeight="1">
      <c r="BE251" s="5" t="s"/>
    </row>
    <row r="252" spans="57:57" ht="30" customHeight="1">
      <c r="BE252" s="5" t="s"/>
    </row>
    <row r="253" spans="57:57" ht="30" customHeight="1">
      <c r="BE253" s="5" t="s"/>
    </row>
    <row r="254" spans="57:57" ht="30" customHeight="1">
      <c r="BE254" s="5" t="s"/>
    </row>
    <row r="255" spans="57:57" ht="30" customHeight="1">
      <c r="BE255" s="5" t="s"/>
    </row>
    <row r="256" spans="57:57" ht="30" customHeight="1">
      <c r="BE256" s="5" t="s"/>
    </row>
    <row r="257" spans="57:57" ht="30" customHeight="1">
      <c r="BE257" s="5" t="s"/>
    </row>
    <row r="258" spans="57:57" ht="30" customHeight="1">
      <c r="BE258" s="5" t="s"/>
    </row>
    <row r="259" spans="57:57" ht="30" customHeight="1">
      <c r="BE259" s="5" t="s"/>
    </row>
    <row r="260" spans="57:57" ht="30" customHeight="1">
      <c r="BE260" s="5" t="s"/>
    </row>
    <row r="261" spans="57:57" ht="30" customHeight="1">
      <c r="BE261" s="5" t="s"/>
    </row>
    <row r="262" spans="57:57" ht="30" customHeight="1">
      <c r="BE262" s="5" t="s"/>
    </row>
    <row r="263" spans="57:57" ht="30" customHeight="1">
      <c r="BE263" s="5" t="s"/>
    </row>
    <row r="264" spans="57:57" ht="30" customHeight="1">
      <c r="BE264" s="5" t="s"/>
    </row>
    <row r="265" spans="57:57" ht="30" customHeight="1">
      <c r="BE265" s="5" t="s"/>
    </row>
    <row r="266" spans="57:57" ht="30" customHeight="1">
      <c r="BE266" s="5" t="s"/>
    </row>
    <row r="267" spans="57:57" ht="30" customHeight="1">
      <c r="BE267" s="5" t="s"/>
    </row>
    <row r="268" spans="57:57" ht="30" customHeight="1">
      <c r="BE268" s="5" t="s"/>
    </row>
    <row r="269" spans="57:57" ht="30" customHeight="1">
      <c r="BE269" s="5" t="s"/>
    </row>
    <row r="270" spans="57:57" ht="30" customHeight="1">
      <c r="BE270" s="5" t="s"/>
    </row>
    <row r="271" spans="57:57" ht="30" customHeight="1">
      <c r="BE271" s="5" t="s"/>
    </row>
    <row r="272" spans="57:57" ht="30" customHeight="1">
      <c r="BE272" s="5" t="s"/>
    </row>
    <row r="273" spans="57:57" ht="30" customHeight="1">
      <c r="BE273" s="5" t="s"/>
    </row>
    <row r="274" spans="57:57" ht="30" customHeight="1">
      <c r="BE274" s="5" t="s"/>
    </row>
    <row r="275" spans="57:57" ht="30" customHeight="1">
      <c r="BE275" s="5" t="s"/>
    </row>
    <row r="276" spans="57:57" ht="30" customHeight="1">
      <c r="BE276" s="5" t="s"/>
    </row>
    <row r="277" spans="57:57" ht="30" customHeight="1">
      <c r="BE277" s="5" t="s"/>
    </row>
    <row r="278" spans="57:57" ht="30" customHeight="1">
      <c r="BE278" s="5" t="s"/>
    </row>
    <row r="279" spans="57:57" ht="30" customHeight="1">
      <c r="BE279" s="5" t="s"/>
    </row>
    <row r="280" spans="57:57" ht="30" customHeight="1">
      <c r="BE280" s="5" t="s"/>
    </row>
    <row r="281" spans="57:57" ht="30" customHeight="1">
      <c r="BE281" s="5" t="s"/>
    </row>
    <row r="282" spans="57:57" ht="30" customHeight="1">
      <c r="BE282" s="5" t="s"/>
    </row>
    <row r="283" spans="57:57" ht="30" customHeight="1">
      <c r="BE283" s="5" t="s"/>
    </row>
    <row r="284" spans="57:57" ht="30" customHeight="1">
      <c r="BE284" s="5" t="s"/>
    </row>
    <row r="285" spans="57:57" ht="30" customHeight="1">
      <c r="BE285" s="5" t="s"/>
    </row>
    <row r="286" spans="57:57" ht="30" customHeight="1">
      <c r="BE286" s="5" t="s"/>
    </row>
    <row r="287" spans="57:57" ht="30" customHeight="1">
      <c r="BE287" s="5" t="s"/>
    </row>
    <row r="288" spans="57:57" ht="30" customHeight="1">
      <c r="BE288" s="5" t="s"/>
    </row>
    <row r="289" spans="57:57" ht="30" customHeight="1">
      <c r="BE289" s="5" t="s"/>
    </row>
    <row r="290" spans="57:57" ht="30" customHeight="1">
      <c r="BE290" s="5" t="s"/>
    </row>
    <row r="291" spans="57:57" ht="30" customHeight="1">
      <c r="BE291" s="5" t="s"/>
    </row>
    <row r="292" spans="57:57" ht="30" customHeight="1">
      <c r="BE292" s="5" t="s"/>
    </row>
    <row r="293" spans="57:57" ht="30" customHeight="1">
      <c r="BE293" s="5" t="s"/>
    </row>
    <row r="294" spans="57:57" ht="30" customHeight="1">
      <c r="BE294" s="5" t="s"/>
    </row>
    <row r="295" spans="57:57" ht="30" customHeight="1">
      <c r="BE295" s="5" t="s"/>
    </row>
  </sheetData>
  <mergeCells count="2">
    <mergeCell ref="F2:Z2"/>
    <mergeCell ref="AA2:BE2"/>
  </mergeCells>
  <dataValidations>
    <dataValidation type="list" errorStyle="stop" allowBlank="1" showDropDown="0" showInputMessage="1" showErrorMessage="1" prompt="" sqref="G4:G7">
      <formula1>"41,13.2,-6.9,-47.3,"</formula1>
    </dataValidation>
    <dataValidation type="list" errorStyle="stop" allowBlank="1" showDropDown="0" showInputMessage="1" showErrorMessage="1" prompt="" sqref="H4:H7">
      <formula1>"46.4,13.3,-9,-50.7,"</formula1>
    </dataValidation>
    <dataValidation type="list" errorStyle="stop" allowBlank="1" showDropDown="0" showInputMessage="1" showErrorMessage="1" prompt="" sqref="I4:I7">
      <formula1>"65.5,9.9,-19.7,-55.7,"</formula1>
    </dataValidation>
    <dataValidation type="list" errorStyle="stop" allowBlank="1" showDropDown="0" showInputMessage="1" showErrorMessage="1" prompt="" sqref="J4:J7">
      <formula1>"76.6,8.8,-28.5,-56.9,"</formula1>
    </dataValidation>
    <dataValidation type="list" errorStyle="stop" allowBlank="1" showDropDown="0" showInputMessage="1" showErrorMessage="1" prompt="" sqref="K4:K7">
      <formula1>"41.9,6.9,-35.7,-13.1,"</formula1>
    </dataValidation>
    <dataValidation type="list" errorStyle="stop" allowBlank="1" showDropDown="0" showInputMessage="1" showErrorMessage="1" prompt="" sqref="L4:L7">
      <formula1>"49.6,26.6,-18.1,-58.1,"</formula1>
    </dataValidation>
    <dataValidation type="list" errorStyle="stop" allowBlank="1" showDropDown="0" showInputMessage="1" showErrorMessage="1" prompt="" sqref="M4:M7">
      <formula1>"43.8,12.6,-8,-48.4,"</formula1>
    </dataValidation>
    <dataValidation type="list" errorStyle="stop" allowBlank="1" showDropDown="0" showInputMessage="1" showErrorMessage="1" prompt="" sqref="N4:N7">
      <formula1>"48.1,22,-7.2,-62.9,"</formula1>
    </dataValidation>
    <dataValidation type="list" errorStyle="stop" allowBlank="1" showDropDown="0" showInputMessage="1" showErrorMessage="1" prompt="" sqref="O4:O7">
      <formula1>"41,20.1,-13,-48.1,"</formula1>
    </dataValidation>
    <dataValidation type="list" errorStyle="stop" allowBlank="1" showDropDown="0" showInputMessage="1" showErrorMessage="1" prompt="" sqref="P4:P7">
      <formula1>"49,16,-14.4,-50.6,"</formula1>
    </dataValidation>
    <dataValidation type="list" errorStyle="stop" allowBlank="1" showDropDown="0" showInputMessage="1" showErrorMessage="1" prompt="" sqref="Q4:Q7">
      <formula1>"65.2,7.9,-16.1,-57,"</formula1>
    </dataValidation>
    <dataValidation type="list" errorStyle="stop" allowBlank="1" showDropDown="0" showInputMessage="1" showErrorMessage="1" prompt="" sqref="R4:R7">
      <formula1>"27.2,11.3,-9.1,-29.4,"</formula1>
    </dataValidation>
    <dataValidation type="list" errorStyle="stop" allowBlank="1" showDropDown="0" showInputMessage="1" showErrorMessage="1" prompt="" sqref="S4:S7">
      <formula1>"27.7,15.6,-0.2,-43.1,"</formula1>
    </dataValidation>
    <dataValidation type="list" errorStyle="stop" allowBlank="1" showDropDown="0" showInputMessage="1" showErrorMessage="1" prompt="" sqref="T4:T7">
      <formula1>"27.5,10.9,-2.9,-35.5,"</formula1>
    </dataValidation>
    <dataValidation type="list" errorStyle="stop" allowBlank="1" showDropDown="0" showInputMessage="1" showErrorMessage="1" prompt="" sqref="U4:U7">
      <formula1>"34.8,24.6,-16.2,-43.2,"</formula1>
    </dataValidation>
    <dataValidation type="list" errorStyle="stop" allowBlank="1" showDropDown="0" showInputMessage="1" showErrorMessage="1" prompt="" sqref="V4:V7">
      <formula1>"25.9,9.1,-8.2,-26.8,"</formula1>
    </dataValidation>
    <dataValidation type="list" errorStyle="stop" allowBlank="1" showDropDown="0" showInputMessage="1" showErrorMessage="1" prompt="" sqref="W4:W7">
      <formula1>"27.5,10.9,-2.9,-35.5,"</formula1>
    </dataValidation>
    <dataValidation type="list" errorStyle="stop" allowBlank="1" showDropDown="0" showInputMessage="1" showErrorMessage="1" prompt="" sqref="X4:X7">
      <formula1>"29.6,17.2,-13.7,-33.1,"</formula1>
    </dataValidation>
    <dataValidation type="list" errorStyle="stop" allowBlank="1" showDropDown="0" showInputMessage="1" showErrorMessage="1" prompt="" sqref="Y4:Y7">
      <formula1>"29.6,17.2,-13.7,-33.1,"</formula1>
    </dataValidation>
    <dataValidation type="list" errorStyle="stop" allowBlank="1" showDropDown="0" showInputMessage="1" showErrorMessage="1" prompt="" sqref="Z4:Z7">
      <formula1>"27.5,10.9,-2.9,-35.5,"</formula1>
    </dataValidation>
    <dataValidation type="list" errorStyle="stop" allowBlank="1" showDropDown="0" showInputMessage="1" showErrorMessage="1" prompt="" sqref="AA4:AA7">
      <formula1>"27.5,10.9,-2.9,-35.5,"</formula1>
    </dataValidation>
    <dataValidation type="list" errorStyle="stop" allowBlank="1" showDropDown="0" showInputMessage="1" showErrorMessage="1" prompt="" sqref="AB4:AB7">
      <formula1>"27.5,10.9,-2.9,-35.5,"</formula1>
    </dataValidation>
    <dataValidation type="list" errorStyle="stop" allowBlank="1" showDropDown="0" showInputMessage="1" showErrorMessage="1" prompt="" sqref="AC4:AC7">
      <formula1>"27.5,10.9,-2.9,-35.5,"</formula1>
    </dataValidation>
    <dataValidation type="list" errorStyle="stop" allowBlank="1" showDropDown="0" showInputMessage="1" showErrorMessage="1" prompt="" sqref="AD4:AD7">
      <formula1>"27.5,10.9,-2.9,-35.5,"</formula1>
    </dataValidation>
    <dataValidation type="list" errorStyle="stop" allowBlank="1" showDropDown="0" showInputMessage="1" showErrorMessage="1" prompt="" sqref="AE4:AE7">
      <formula1>"27.5,10.9,-2.9,-35.5,"</formula1>
    </dataValidation>
    <dataValidation type="list" errorStyle="stop" allowBlank="1" showDropDown="0" showInputMessage="1" showErrorMessage="1" prompt="" sqref="AF4:AF7">
      <formula1>"27.5,10.9,-2.9,-35.5,"</formula1>
    </dataValidation>
    <dataValidation type="list" errorStyle="stop" allowBlank="1" showDropDown="0" showInputMessage="1" showErrorMessage="1" prompt="" sqref="AG4:AG7">
      <formula1>"27.5,10.9,-2.9,-35.5,"</formula1>
    </dataValidation>
    <dataValidation type="list" errorStyle="stop" allowBlank="1" showDropDown="0" showInputMessage="1" showErrorMessage="1" prompt="" sqref="AH4:AH7">
      <formula1>"27.5,10.9,-2.9,-35.5,"</formula1>
    </dataValidation>
    <dataValidation type="list" errorStyle="stop" allowBlank="1" showDropDown="0" showInputMessage="1" showErrorMessage="1" prompt="" sqref="AI4:AI7">
      <formula1>"27.5,10.9,-2.9,-35.5,"</formula1>
    </dataValidation>
    <dataValidation type="list" errorStyle="stop" allowBlank="1" showDropDown="0" showInputMessage="1" showErrorMessage="1" prompt="" sqref="AJ4:AJ7">
      <formula1>"27.5,10.9,-2.9,-35.5,"</formula1>
    </dataValidation>
    <dataValidation type="list" errorStyle="stop" allowBlank="1" showDropDown="0" showInputMessage="1" showErrorMessage="1" prompt="" sqref="AK4:AK7">
      <formula1>"27.5,10.9,-2.9,-35.5,"</formula1>
    </dataValidation>
    <dataValidation type="list" errorStyle="stop" allowBlank="1" showDropDown="0" showInputMessage="1" showErrorMessage="1" prompt="" sqref="AL4:AL7">
      <formula1>"27.5,10.9,-2.9,-35.5,"</formula1>
    </dataValidation>
    <dataValidation type="list" errorStyle="stop" allowBlank="1" showDropDown="0" showInputMessage="1" showErrorMessage="1" prompt="" sqref="AM4:AM7">
      <formula1>"27.5,10.9,-2.9,-35.5,"</formula1>
    </dataValidation>
    <dataValidation type="list" errorStyle="stop" allowBlank="1" showDropDown="0" showInputMessage="1" showErrorMessage="1" prompt="" sqref="AN4:AN7">
      <formula1>"27.5,10.9,-2.9,-35.5,"</formula1>
    </dataValidation>
    <dataValidation type="list" errorStyle="stop" allowBlank="1" showDropDown="0" showInputMessage="1" showErrorMessage="1" prompt="" sqref="AO4:AO7">
      <formula1>"27.5,10.9,-2.9,-35.5,"</formula1>
    </dataValidation>
    <dataValidation type="list" errorStyle="stop" allowBlank="1" showDropDown="0" showInputMessage="1" showErrorMessage="1" prompt="" sqref="AP4:AP7">
      <formula1>"27.5,10.9,-2.9,-35.5,"</formula1>
    </dataValidation>
    <dataValidation type="list" errorStyle="stop" allowBlank="1" showDropDown="0" showInputMessage="1" showErrorMessage="1" prompt="" sqref="AQ4:AQ7">
      <formula1>"27.5,10.9,-2.9,-35.5,"</formula1>
    </dataValidation>
    <dataValidation type="list" errorStyle="stop" allowBlank="1" showDropDown="0" showInputMessage="1" showErrorMessage="1" prompt="" sqref="AR4:AR7">
      <formula1>"27.5,10.9,-2.9,-35.5,"</formula1>
    </dataValidation>
    <dataValidation type="list" errorStyle="stop" allowBlank="1" showDropDown="0" showInputMessage="1" showErrorMessage="1" prompt="" sqref="AS4:AS7">
      <formula1>"27.5,10.9,-2.9,-35.5,"</formula1>
    </dataValidation>
    <dataValidation type="list" errorStyle="stop" allowBlank="1" showDropDown="0" showInputMessage="1" showErrorMessage="1" prompt="" sqref="AT4:AT7">
      <formula1>"27.5,10.9,-2.9,-35.5,"</formula1>
    </dataValidation>
    <dataValidation type="list" errorStyle="stop" allowBlank="1" showDropDown="0" showInputMessage="1" showErrorMessage="1" prompt="" sqref="AU4:AU7">
      <formula1>"27.5,10.9,-2.9,-35.5,"</formula1>
    </dataValidation>
    <dataValidation type="list" errorStyle="stop" allowBlank="1" showDropDown="0" showInputMessage="1" showErrorMessage="1" prompt="" sqref="AV4:AV7">
      <formula1>"27.5,10.9,-2.9,-35.5,"</formula1>
    </dataValidation>
    <dataValidation type="list" errorStyle="stop" allowBlank="1" showDropDown="0" showInputMessage="1" showErrorMessage="1" prompt="" sqref="AW4:AW7">
      <formula1>"27.5,10.9,-2.9,-35.5,"</formula1>
    </dataValidation>
    <dataValidation type="list" errorStyle="stop" allowBlank="1" showDropDown="0" showInputMessage="1" showErrorMessage="1" prompt="" sqref="AX4:AX7">
      <formula1>"27.5,10.9,-2.9,-35.5,"</formula1>
    </dataValidation>
    <dataValidation type="list" errorStyle="stop" allowBlank="1" showDropDown="0" showInputMessage="1" showErrorMessage="1" prompt="" sqref="AY4:AY7">
      <formula1>"27.5,10.9,-2.9,-35.5,"</formula1>
    </dataValidation>
    <dataValidation type="list" errorStyle="stop" allowBlank="1" showDropDown="0" showInputMessage="1" showErrorMessage="1" prompt="" sqref="AZ4:AZ7">
      <formula1>"27.5,10.9,-2.9,-35.5,"</formula1>
    </dataValidation>
    <dataValidation type="list" errorStyle="stop" allowBlank="1" showDropDown="0" showInputMessage="1" showErrorMessage="1" prompt="" sqref="BA4:BA7">
      <formula1>"27.5,10.9,-2.9,-35.5,"</formula1>
    </dataValidation>
    <dataValidation type="list" errorStyle="stop" allowBlank="1" showDropDown="0" showInputMessage="1" showErrorMessage="1" prompt="" sqref="BB4:BB7">
      <formula1>"27.5,10.9,-2.9,-35.5,"</formula1>
    </dataValidation>
    <dataValidation type="list" errorStyle="stop" allowBlank="1" showDropDown="0" showInputMessage="1" showErrorMessage="1" prompt="" sqref="BC4:BC7">
      <formula1>"27.5,10.9,-2.9,-35.5,"</formula1>
    </dataValidation>
    <dataValidation type="list" errorStyle="stop" allowBlank="1" showDropDown="0" showInputMessage="1" showErrorMessage="1" prompt="" sqref="BD4:BD7">
      <formula1>"27.5,10.9,-2.9,-35.5,"</formula1>
    </dataValidation>
  </dataValidations>
</worksheet>
</file>

<file path=xl/worksheets/sheet2.xml><?xml version="1.0" encoding="utf-8"?>
<worksheet xmlns="http://schemas.openxmlformats.org/spreadsheetml/2006/main">
  <sheetPr codeName="XXC">
    <tabColor/>
  </sheetPr>
  <dimension ref="BE295"/>
  <sheetViews>
    <sheetView showGridLines="1" rightToLeft="0" workbookViewId="0"/>
  </sheetViews>
  <sheetFormatPr baseColWidth="13" defaultRowHeight="18" customHeight="1"/>
  <cols>
    <col min="1" max="2" width="1.34375" style="56" hidden="1" customWidth="1"/>
    <col min="3" max="3" width="1.34375" style="56" customWidth="1"/>
    <col min="4" max="4" width="12.1406" style="56" customWidth="1"/>
    <col min="5" max="5" width="10.793" style="56" customWidth="1"/>
    <col min="6" max="6" width="12.0039" style="56" customWidth="1"/>
    <col min="7" max="9" width="8.22266" style="56" customWidth="1"/>
    <col min="10" max="10" width="9.17188" style="56" customWidth="1"/>
    <col min="11" max="15" width="8.22266" style="56" customWidth="1"/>
    <col min="16" max="16" width="7.33203" style="56" customWidth="1"/>
    <col min="17" max="52" width="8.22266" style="56" customWidth="1"/>
    <col min="53" max="53" width="8.36328" style="56" customWidth="1"/>
    <col min="54" max="56" width="8.22266" style="56" customWidth="1"/>
    <col min="57" max="57" width="12.0039" style="56" customWidth="1"/>
  </cols>
  <sheetData>
    <row r="1" spans="7:57" ht="30" customHeight="1">
      <c r="G1" s="76" t="s"/>
      <c r="BE1" s="56" t="s"/>
    </row>
    <row r="2" spans="4:57" ht="30" customHeight="1">
      <c r="D2" s="77" t="s">
        <v>1</v>
      </c>
      <c r="E2" s="78">
        <v>29</v>
      </c>
      <c r="F2" s="8" t="s">
        <v>28</v>
      </c>
      <c r="G2" s="79" t="s"/>
      <c r="H2" s="79" t="s"/>
      <c r="I2" s="79" t="s"/>
      <c r="J2" s="79" t="s"/>
      <c r="K2" s="79" t="s"/>
      <c r="L2" s="79" t="s"/>
      <c r="M2" s="79" t="s"/>
      <c r="N2" s="79" t="s"/>
      <c r="O2" s="79" t="s"/>
      <c r="P2" s="79" t="s"/>
      <c r="Q2" s="79" t="s"/>
      <c r="R2" s="79" t="s"/>
      <c r="S2" s="79" t="s"/>
      <c r="T2" s="79" t="s"/>
      <c r="U2" s="79" t="s"/>
      <c r="V2" s="79" t="s"/>
      <c r="W2" s="79" t="s"/>
      <c r="X2" s="79" t="s"/>
      <c r="Y2" s="79" t="s"/>
      <c r="Z2" s="80" t="s"/>
      <c r="AA2" s="11" t="s"/>
      <c r="AB2" s="79" t="s"/>
      <c r="AC2" s="79" t="s"/>
      <c r="AD2" s="79" t="s"/>
      <c r="AE2" s="79" t="s"/>
      <c r="AF2" s="79" t="s"/>
      <c r="AG2" s="79" t="s"/>
      <c r="AH2" s="79" t="s"/>
      <c r="AI2" s="79" t="s"/>
      <c r="AJ2" s="79" t="s"/>
      <c r="AK2" s="79" t="s"/>
      <c r="AL2" s="79" t="s"/>
      <c r="AM2" s="79" t="s"/>
      <c r="AN2" s="79" t="s"/>
      <c r="AO2" s="79" t="s"/>
      <c r="AP2" s="79" t="s"/>
      <c r="AQ2" s="79" t="s"/>
      <c r="AR2" s="79" t="s"/>
      <c r="AS2" s="79" t="s"/>
      <c r="AT2" s="79" t="s"/>
      <c r="AU2" s="79" t="s"/>
      <c r="AV2" s="81" t="s"/>
      <c r="AW2" s="81" t="s"/>
      <c r="AX2" s="81" t="s"/>
      <c r="AY2" s="81" t="s"/>
      <c r="AZ2" s="81" t="s"/>
      <c r="BA2" s="81" t="s"/>
      <c r="BB2" s="81" t="s"/>
      <c r="BC2" s="81" t="s"/>
      <c r="BD2" s="81" t="s"/>
      <c r="BE2" s="80" t="s"/>
    </row>
    <row r="3" spans="4:57" ht="30" customHeight="1">
      <c r="D3" s="82" t="s">
        <v>3</v>
      </c>
      <c r="E3" s="83" t="s">
        <v>4</v>
      </c>
      <c r="F3" s="84" t="s">
        <v>5</v>
      </c>
      <c r="G3" s="85">
        <v>1</v>
      </c>
      <c r="H3" s="85">
        <v>2</v>
      </c>
      <c r="I3" s="85">
        <v>3</v>
      </c>
      <c r="J3" s="85">
        <v>4</v>
      </c>
      <c r="K3" s="85">
        <v>5</v>
      </c>
      <c r="L3" s="85">
        <v>6</v>
      </c>
      <c r="M3" s="85">
        <v>7</v>
      </c>
      <c r="N3" s="85">
        <v>8</v>
      </c>
      <c r="O3" s="85">
        <v>9</v>
      </c>
      <c r="P3" s="86">
        <v>10</v>
      </c>
      <c r="Q3" s="85">
        <v>11</v>
      </c>
      <c r="R3" s="85">
        <v>12</v>
      </c>
      <c r="S3" s="85">
        <v>13</v>
      </c>
      <c r="T3" s="85">
        <v>14</v>
      </c>
      <c r="U3" s="85">
        <v>15</v>
      </c>
      <c r="V3" s="85">
        <v>16</v>
      </c>
      <c r="W3" s="85">
        <v>17</v>
      </c>
      <c r="X3" s="85">
        <v>18</v>
      </c>
      <c r="Y3" s="85">
        <v>19</v>
      </c>
      <c r="Z3" s="86">
        <v>20</v>
      </c>
      <c r="AA3" s="85">
        <v>21</v>
      </c>
      <c r="AB3" s="85">
        <v>22</v>
      </c>
      <c r="AC3" s="85">
        <v>23</v>
      </c>
      <c r="AD3" s="85">
        <v>24</v>
      </c>
      <c r="AE3" s="85">
        <v>25</v>
      </c>
      <c r="AF3" s="85">
        <v>26</v>
      </c>
      <c r="AG3" s="85">
        <v>27</v>
      </c>
      <c r="AH3" s="85">
        <v>28</v>
      </c>
      <c r="AI3" s="85">
        <v>29</v>
      </c>
      <c r="AJ3" s="86">
        <v>30</v>
      </c>
      <c r="AK3" s="85">
        <v>31</v>
      </c>
      <c r="AL3" s="85">
        <v>32</v>
      </c>
      <c r="AM3" s="85">
        <v>33</v>
      </c>
      <c r="AN3" s="85">
        <v>34</v>
      </c>
      <c r="AO3" s="85">
        <v>35</v>
      </c>
      <c r="AP3" s="85">
        <v>36</v>
      </c>
      <c r="AQ3" s="85">
        <v>37</v>
      </c>
      <c r="AR3" s="85">
        <v>38</v>
      </c>
      <c r="AS3" s="85">
        <v>39</v>
      </c>
      <c r="AT3" s="85">
        <v>40</v>
      </c>
      <c r="AU3" s="85">
        <v>41</v>
      </c>
      <c r="AV3" s="87">
        <v>42</v>
      </c>
      <c r="AW3" s="87">
        <v>43</v>
      </c>
      <c r="AX3" s="87">
        <v>44</v>
      </c>
      <c r="AY3" s="87">
        <v>45</v>
      </c>
      <c r="AZ3" s="87">
        <v>46</v>
      </c>
      <c r="BA3" s="87">
        <v>47</v>
      </c>
      <c r="BB3" s="87">
        <v>48</v>
      </c>
      <c r="BC3" s="87">
        <v>49</v>
      </c>
      <c r="BD3" s="88">
        <v>50</v>
      </c>
      <c r="BE3" s="84" t="s">
        <v>5</v>
      </c>
    </row>
    <row r="4" spans="2:57" ht="30" customHeight="1">
      <c r="B4" s="89" t="s"/>
      <c r="D4" s="21">
        <f>=SUM(E133:BB133)/E2</f>
        <v>2.27586206896552</v>
      </c>
      <c r="E4" s="22">
        <f>=SUM(G4:BD4)</f>
        <v>225.5</v>
      </c>
      <c r="F4" s="84" t="s">
        <v>29</v>
      </c>
      <c r="G4" s="23">
        <v>-15.4</v>
      </c>
      <c r="H4" s="90">
        <v>-52.8</v>
      </c>
      <c r="I4" s="23">
        <v>-13.4</v>
      </c>
      <c r="J4" s="23">
        <v>-37.8</v>
      </c>
      <c r="K4" s="23">
        <v>60.8</v>
      </c>
      <c r="L4" s="23">
        <v>-51.5</v>
      </c>
      <c r="M4" s="23">
        <v>-40.6</v>
      </c>
      <c r="N4" s="23">
        <v>3.9</v>
      </c>
      <c r="O4" s="23">
        <v>13.9</v>
      </c>
      <c r="P4" s="23">
        <v>49</v>
      </c>
      <c r="Q4" s="23">
        <v>7.9</v>
      </c>
      <c r="R4" s="23">
        <v>58.6</v>
      </c>
      <c r="S4" s="23">
        <v>62.8</v>
      </c>
      <c r="T4" s="23">
        <v>-19.4</v>
      </c>
      <c r="U4" s="23">
        <v>44.8</v>
      </c>
      <c r="V4" s="23">
        <v>40.3</v>
      </c>
      <c r="W4" s="23">
        <v>-12.3</v>
      </c>
      <c r="X4" s="91">
        <v>56.4</v>
      </c>
      <c r="Y4" s="90">
        <v>-21</v>
      </c>
      <c r="Z4" s="23">
        <v>16.2</v>
      </c>
      <c r="AA4" s="23">
        <v>12.6</v>
      </c>
      <c r="AB4" s="23">
        <v>-12.1</v>
      </c>
      <c r="AC4" s="23">
        <v>-47.5</v>
      </c>
      <c r="AD4" s="23">
        <v>44.3</v>
      </c>
      <c r="AE4" s="23">
        <v>13.2</v>
      </c>
      <c r="AF4" s="23">
        <v>53.6</v>
      </c>
      <c r="AG4" s="23">
        <v>10.5</v>
      </c>
      <c r="AH4" s="23">
        <v>51.5</v>
      </c>
      <c r="AI4" s="90">
        <v>-51</v>
      </c>
      <c r="AJ4" s="56" t="s"/>
      <c r="AK4" s="56" t="s"/>
      <c r="AL4" s="56" t="s"/>
      <c r="AM4" s="56" t="s"/>
      <c r="AN4" s="56" t="s"/>
      <c r="AO4" s="56" t="s"/>
      <c r="AP4" s="56" t="s"/>
      <c r="AQ4" s="56" t="s"/>
      <c r="AR4" s="56" t="s"/>
      <c r="AS4" s="56" t="s"/>
      <c r="AT4" s="56" t="s"/>
      <c r="AU4" s="56" t="s"/>
      <c r="AV4" s="56" t="s"/>
      <c r="AW4" s="56" t="s"/>
      <c r="AX4" s="56" t="s"/>
      <c r="AY4" s="56" t="s"/>
      <c r="AZ4" s="56" t="s"/>
      <c r="BA4" s="56" t="s"/>
      <c r="BB4" s="56" t="s"/>
      <c r="BC4" s="56" t="s"/>
      <c r="BD4" s="56" t="s"/>
      <c r="BE4" s="84" t="s">
        <v>29</v>
      </c>
    </row>
    <row r="5" spans="4:57" ht="30" customHeight="1">
      <c r="D5" s="30">
        <f>=SUM(E134:BB134)/E2</f>
        <v>2.44827586206897</v>
      </c>
      <c r="E5" s="31">
        <f>=SUM(G5:BD5)</f>
        <v>5.3</v>
      </c>
      <c r="F5" s="85" t="s">
        <v>30</v>
      </c>
      <c r="G5" s="23">
        <v>8.8</v>
      </c>
      <c r="H5" s="90">
        <v>-23.3</v>
      </c>
      <c r="I5" s="23">
        <v>38.3</v>
      </c>
      <c r="J5" s="23">
        <v>5.5</v>
      </c>
      <c r="K5" s="23">
        <v>-18.7</v>
      </c>
      <c r="L5" s="23">
        <v>59</v>
      </c>
      <c r="M5" s="23">
        <v>44.4</v>
      </c>
      <c r="N5" s="23">
        <v>-16.1</v>
      </c>
      <c r="O5" s="23">
        <v>-11.7</v>
      </c>
      <c r="P5" s="23">
        <v>-50.6</v>
      </c>
      <c r="Q5" s="23">
        <v>65.2</v>
      </c>
      <c r="R5" s="23">
        <v>-48</v>
      </c>
      <c r="S5" s="23">
        <v>-62.8</v>
      </c>
      <c r="T5" s="23">
        <v>65.7</v>
      </c>
      <c r="U5" s="23">
        <v>14.7</v>
      </c>
      <c r="V5" s="23">
        <v>-57.3</v>
      </c>
      <c r="W5" s="23">
        <v>-43.4</v>
      </c>
      <c r="X5" s="91">
        <v>-51.1</v>
      </c>
      <c r="Y5" s="90">
        <v>15</v>
      </c>
      <c r="Z5" s="92">
        <v>40.5</v>
      </c>
      <c r="AA5" s="23">
        <v>-36.4</v>
      </c>
      <c r="AB5" s="23">
        <v>37</v>
      </c>
      <c r="AC5" s="23">
        <v>14.7</v>
      </c>
      <c r="AD5" s="23">
        <v>7.1</v>
      </c>
      <c r="AE5" s="23">
        <v>-17.6</v>
      </c>
      <c r="AF5" s="23">
        <v>-15.8</v>
      </c>
      <c r="AG5" s="23">
        <v>39.8</v>
      </c>
      <c r="AH5" s="23">
        <v>-48.2</v>
      </c>
      <c r="AI5" s="90">
        <v>50.6</v>
      </c>
      <c r="AJ5" s="56" t="s"/>
      <c r="AK5" s="56" t="s"/>
      <c r="AL5" s="56" t="s"/>
      <c r="AM5" s="56" t="s"/>
      <c r="AN5" s="56" t="s"/>
      <c r="AO5" s="56" t="s"/>
      <c r="AP5" s="56" t="s"/>
      <c r="AQ5" s="56" t="s"/>
      <c r="AR5" s="56" t="s"/>
      <c r="AS5" s="56" t="s"/>
      <c r="AT5" s="56" t="s"/>
      <c r="AU5" s="56" t="s"/>
      <c r="AV5" s="56" t="s"/>
      <c r="AW5" s="56" t="s"/>
      <c r="AX5" s="56" t="s"/>
      <c r="AY5" s="56" t="s"/>
      <c r="AZ5" s="56" t="s"/>
      <c r="BA5" s="56" t="s"/>
      <c r="BB5" s="56" t="s"/>
      <c r="BC5" s="56" t="s"/>
      <c r="BD5" s="56" t="s"/>
      <c r="BE5" s="85" t="s">
        <v>30</v>
      </c>
    </row>
    <row r="6" spans="4:57" ht="30" customHeight="1">
      <c r="D6" s="30">
        <f>=SUM(E135:BB135)/E2</f>
        <v>2.75862068965517</v>
      </c>
      <c r="E6" s="31">
        <f>=SUM(G6:BD6)</f>
        <v>-186.9</v>
      </c>
      <c r="F6" s="87" t="s">
        <v>31</v>
      </c>
      <c r="G6" s="23">
        <v>44.7</v>
      </c>
      <c r="H6" s="90">
        <v>54.2</v>
      </c>
      <c r="I6" s="23">
        <v>-33.7</v>
      </c>
      <c r="J6" s="23">
        <v>48.6</v>
      </c>
      <c r="K6" s="23">
        <v>-50.1</v>
      </c>
      <c r="L6" s="23">
        <v>-18.4</v>
      </c>
      <c r="M6" s="23">
        <v>-20.3</v>
      </c>
      <c r="N6" s="23">
        <v>68.3</v>
      </c>
      <c r="O6" s="23">
        <v>34.5</v>
      </c>
      <c r="P6" s="23">
        <v>-14.4</v>
      </c>
      <c r="Q6" s="23">
        <v>-16.1</v>
      </c>
      <c r="R6" s="23">
        <v>8.5</v>
      </c>
      <c r="S6" s="23">
        <v>-10</v>
      </c>
      <c r="T6" s="23">
        <v>-50.9</v>
      </c>
      <c r="U6" s="23">
        <v>-50.1</v>
      </c>
      <c r="V6" s="23">
        <v>-2.1</v>
      </c>
      <c r="W6" s="23">
        <v>47</v>
      </c>
      <c r="X6" s="91">
        <v>-28.1</v>
      </c>
      <c r="Y6" s="90">
        <v>-43.5</v>
      </c>
      <c r="Z6" s="23">
        <v>-44.5</v>
      </c>
      <c r="AA6" s="23">
        <v>39.6</v>
      </c>
      <c r="AB6" s="23">
        <v>-39.7</v>
      </c>
      <c r="AC6" s="23">
        <v>-16.8</v>
      </c>
      <c r="AD6" s="23">
        <v>-37.5</v>
      </c>
      <c r="AE6" s="23">
        <v>-38.4</v>
      </c>
      <c r="AF6" s="23">
        <v>17.7</v>
      </c>
      <c r="AG6" s="23">
        <v>-36.8</v>
      </c>
      <c r="AH6" s="23">
        <v>-18.9</v>
      </c>
      <c r="AI6" s="90">
        <v>20.3</v>
      </c>
      <c r="AJ6" s="56" t="s"/>
      <c r="AK6" s="56" t="s"/>
      <c r="AL6" s="56" t="s"/>
      <c r="AM6" s="56" t="s"/>
      <c r="AN6" s="56" t="s"/>
      <c r="AO6" s="56" t="s"/>
      <c r="AP6" s="56" t="s"/>
      <c r="AQ6" s="56" t="s"/>
      <c r="AR6" s="56" t="s"/>
      <c r="AS6" s="56" t="s"/>
      <c r="AT6" s="56" t="s"/>
      <c r="AU6" s="56" t="s"/>
      <c r="AV6" s="56" t="s"/>
      <c r="AW6" s="56" t="s"/>
      <c r="AX6" s="56" t="s"/>
      <c r="AY6" s="56" t="s"/>
      <c r="AZ6" s="56" t="s"/>
      <c r="BA6" s="56" t="s"/>
      <c r="BB6" s="56" t="s"/>
      <c r="BC6" s="56" t="s"/>
      <c r="BD6" s="56" t="s"/>
      <c r="BE6" s="87" t="s">
        <v>31</v>
      </c>
    </row>
    <row r="7" spans="4:57" ht="30" customHeight="1">
      <c r="D7" s="32">
        <f>=SUM(E136:BB136)/E2</f>
        <v>2.51724137931034</v>
      </c>
      <c r="E7" s="33">
        <f>=SUM(G7:BD7)</f>
        <v>-43.9</v>
      </c>
      <c r="F7" s="93" t="s">
        <v>32</v>
      </c>
      <c r="G7" s="23">
        <v>-38.1</v>
      </c>
      <c r="H7" s="90">
        <v>21.9</v>
      </c>
      <c r="I7" s="23">
        <v>8.8</v>
      </c>
      <c r="J7" s="23">
        <v>-16.3</v>
      </c>
      <c r="K7" s="23">
        <v>8</v>
      </c>
      <c r="L7" s="23">
        <v>10.9</v>
      </c>
      <c r="M7" s="23">
        <v>16.5</v>
      </c>
      <c r="N7" s="23">
        <v>-56.1</v>
      </c>
      <c r="O7" s="23">
        <v>-36.7</v>
      </c>
      <c r="P7" s="23">
        <v>16</v>
      </c>
      <c r="Q7" s="23">
        <v>-57</v>
      </c>
      <c r="R7" s="23">
        <v>-19.1</v>
      </c>
      <c r="S7" s="23">
        <v>10</v>
      </c>
      <c r="T7" s="23">
        <v>4.6</v>
      </c>
      <c r="U7" s="23">
        <v>-9.4</v>
      </c>
      <c r="V7" s="23">
        <v>19.1</v>
      </c>
      <c r="W7" s="23">
        <v>8.7</v>
      </c>
      <c r="X7" s="91">
        <v>22.8</v>
      </c>
      <c r="Y7" s="90">
        <v>49.5</v>
      </c>
      <c r="Z7" s="23">
        <v>-12.2</v>
      </c>
      <c r="AA7" s="23">
        <v>-15.8</v>
      </c>
      <c r="AB7" s="23">
        <v>14.8</v>
      </c>
      <c r="AC7" s="23">
        <v>49.6</v>
      </c>
      <c r="AD7" s="23">
        <v>-13.9</v>
      </c>
      <c r="AE7" s="23">
        <v>42.8</v>
      </c>
      <c r="AF7" s="23">
        <v>-55.5</v>
      </c>
      <c r="AG7" s="23">
        <v>-13.5</v>
      </c>
      <c r="AH7" s="23">
        <v>15.6</v>
      </c>
      <c r="AI7" s="90">
        <v>-19.9</v>
      </c>
      <c r="AJ7" s="56" t="s"/>
      <c r="AK7" s="56" t="s"/>
      <c r="AL7" s="56" t="s"/>
      <c r="AM7" s="56" t="s"/>
      <c r="AN7" s="56" t="s"/>
      <c r="AO7" s="56" t="s"/>
      <c r="AP7" s="56" t="s"/>
      <c r="AQ7" s="56" t="s"/>
      <c r="AR7" s="56" t="s"/>
      <c r="AS7" s="56" t="s"/>
      <c r="AT7" s="56" t="s"/>
      <c r="AU7" s="56" t="s"/>
      <c r="AV7" s="56" t="s"/>
      <c r="AW7" s="56" t="s"/>
      <c r="AX7" s="56" t="s"/>
      <c r="AY7" s="56" t="s"/>
      <c r="AZ7" s="56" t="s"/>
      <c r="BA7" s="56" t="s"/>
      <c r="BB7" s="56" t="s"/>
      <c r="BC7" s="56" t="s"/>
      <c r="BD7" s="56" t="s"/>
      <c r="BE7" s="93" t="s">
        <v>32</v>
      </c>
    </row>
    <row r="8" spans="1:57" s="114" customFormat="1" ht="30" customHeight="1">
      <c r="A8" s="94" t="s"/>
      <c r="B8" s="94" t="s"/>
      <c r="C8" s="94" t="s"/>
      <c r="D8" s="95" t="s">
        <v>14</v>
      </c>
      <c r="E8" s="96" t="s">
        <v>15</v>
      </c>
      <c r="F8" s="97" t="s">
        <v>16</v>
      </c>
      <c r="G8" s="39" t="s">
        <v>15</v>
      </c>
      <c r="H8" s="39" t="s">
        <v>15</v>
      </c>
      <c r="I8" s="39" t="s">
        <v>15</v>
      </c>
      <c r="J8" s="39" t="s">
        <v>15</v>
      </c>
      <c r="K8" s="39" t="s">
        <v>15</v>
      </c>
      <c r="L8" s="39" t="s">
        <v>15</v>
      </c>
      <c r="M8" s="39" t="s">
        <v>15</v>
      </c>
      <c r="N8" s="39" t="s">
        <v>15</v>
      </c>
      <c r="O8" s="39" t="s">
        <v>15</v>
      </c>
      <c r="P8" s="39" t="s">
        <v>15</v>
      </c>
      <c r="Q8" s="39" t="s">
        <v>15</v>
      </c>
      <c r="R8" s="39" t="s">
        <v>15</v>
      </c>
      <c r="S8" s="39" t="s">
        <v>15</v>
      </c>
      <c r="T8" s="39" t="s">
        <v>15</v>
      </c>
      <c r="U8" s="39" t="s">
        <v>15</v>
      </c>
      <c r="V8" s="39" t="s">
        <v>15</v>
      </c>
      <c r="W8" s="39" t="s">
        <v>15</v>
      </c>
      <c r="X8" s="39" t="s">
        <v>15</v>
      </c>
      <c r="Y8" s="39" t="s">
        <v>15</v>
      </c>
      <c r="Z8" s="39" t="s">
        <v>15</v>
      </c>
      <c r="AA8" s="39" t="s">
        <v>15</v>
      </c>
      <c r="AB8" s="39" t="s">
        <v>15</v>
      </c>
      <c r="AC8" s="39" t="s">
        <v>15</v>
      </c>
      <c r="AD8" s="39" t="s">
        <v>15</v>
      </c>
      <c r="AE8" s="39" t="s">
        <v>15</v>
      </c>
      <c r="AF8" s="39" t="s">
        <v>15</v>
      </c>
      <c r="AG8" s="39" t="s">
        <v>15</v>
      </c>
      <c r="AH8" s="39" t="s">
        <v>15</v>
      </c>
      <c r="AI8" s="39" t="s">
        <v>15</v>
      </c>
      <c r="AJ8" s="98" t="s"/>
      <c r="AK8" s="99" t="s"/>
      <c r="AL8" s="99" t="s"/>
      <c r="AM8" s="99" t="s"/>
      <c r="AN8" s="99" t="s"/>
      <c r="AO8" s="99" t="s"/>
      <c r="AP8" s="99" t="s"/>
      <c r="AQ8" s="99" t="s"/>
      <c r="AR8" s="99" t="s"/>
      <c r="AS8" s="99" t="s"/>
      <c r="AT8" s="99" t="s"/>
      <c r="AU8" s="100" t="s"/>
      <c r="AV8" s="99" t="s"/>
      <c r="AW8" s="99" t="s"/>
      <c r="AX8" s="99" t="s"/>
      <c r="AY8" s="99" t="s"/>
      <c r="AZ8" s="99" t="s"/>
      <c r="BA8" s="99" t="s"/>
      <c r="BB8" s="99" t="s"/>
      <c r="BC8" s="99" t="s"/>
      <c r="BD8" s="99" t="s"/>
      <c r="BE8" s="99" t="s">
        <v>5</v>
      </c>
    </row>
    <row r="9" spans="10:57" ht="30" customHeight="1">
      <c r="J9" s="101" t="s"/>
      <c r="BE9" s="56" t="s"/>
    </row>
    <row r="10" spans="4:57" ht="30" customHeight="1">
      <c r="D10" s="56" t="s"/>
      <c r="E10" s="56" t="s"/>
      <c r="F10" s="56" t="s"/>
      <c r="G10" s="102" t="s">
        <v>17</v>
      </c>
      <c r="H10" s="60">
        <f>=ROUND(AVERAGE(H12:H129),2)</f>
        <v>91.3</v>
      </c>
      <c r="I10" s="60">
        <f>=ROUND(AVERAGE(I12:I129),2)</f>
        <v>89.6</v>
      </c>
      <c r="J10" s="60">
        <f>=ROUND(AVERAGE(J12:J129),2)</f>
        <v>88.88</v>
      </c>
      <c r="K10" s="103" t="s"/>
      <c r="L10" s="60">
        <f>=ROUND(AVERAGE(L12:L129),2)</f>
        <v>89.12</v>
      </c>
      <c r="M10" s="60">
        <f>=ROUND(AVERAGE(M12:M129),2)</f>
        <v>89.24</v>
      </c>
      <c r="N10" s="60">
        <f>=ROUND(AVERAGE(N12:N129),2)</f>
        <v>88.59</v>
      </c>
      <c r="BE10" s="56" t="s"/>
    </row>
    <row r="11" spans="4:57">
      <c r="D11" s="56" t="s"/>
      <c r="E11" s="56" t="s"/>
      <c r="F11" s="56" t="s"/>
      <c r="G11" s="55" t="s">
        <v>24</v>
      </c>
      <c r="H11" s="57" t="s">
        <v>33</v>
      </c>
      <c r="I11" s="56" t="s">
        <v>19</v>
      </c>
      <c r="J11" s="54" t="s">
        <v>20</v>
      </c>
      <c r="K11" s="55" t="s">
        <v>26</v>
      </c>
      <c r="L11" s="57" t="s">
        <v>33</v>
      </c>
      <c r="M11" s="56" t="s">
        <v>19</v>
      </c>
      <c r="N11" s="54" t="s">
        <v>20</v>
      </c>
      <c r="BE11" s="56" t="s"/>
    </row>
    <row r="12" spans="4:57" ht="30" hidden="1" customHeight="1">
      <c r="D12" s="104" t="s"/>
      <c r="E12" s="104" t="s"/>
      <c r="F12" s="105" t="s"/>
      <c r="G12" s="55">
        <v>1</v>
      </c>
      <c r="H12" s="56">
        <v>92.7</v>
      </c>
      <c r="I12" s="56">
        <v>86</v>
      </c>
      <c r="J12" s="56">
        <v>83</v>
      </c>
      <c r="K12" s="55">
        <v>1</v>
      </c>
      <c r="L12" s="56">
        <v>89.9</v>
      </c>
      <c r="M12" s="54">
        <v>89.6</v>
      </c>
      <c r="N12" s="56">
        <v>88.6</v>
      </c>
      <c r="BE12" s="56" t="s"/>
    </row>
    <row r="13" spans="4:57" ht="30" hidden="1" customHeight="1">
      <c r="D13" s="56" t="s"/>
      <c r="E13" s="104" t="s"/>
      <c r="F13" s="56" t="s"/>
      <c r="G13" s="55">
        <v>2</v>
      </c>
      <c r="H13" s="56">
        <v>89.1</v>
      </c>
      <c r="I13" s="56">
        <v>87.8</v>
      </c>
      <c r="J13" s="56">
        <v>88.7</v>
      </c>
      <c r="K13" s="60">
        <v>2</v>
      </c>
      <c r="L13" s="56">
        <v>89.1</v>
      </c>
      <c r="M13" s="56">
        <v>86.6</v>
      </c>
      <c r="N13" s="56">
        <v>89</v>
      </c>
      <c r="BE13" s="56" t="s"/>
    </row>
    <row r="14" spans="4:57" ht="30" hidden="1" customHeight="1">
      <c r="D14" s="56" t="s"/>
      <c r="E14" s="56" t="s"/>
      <c r="G14" s="60">
        <v>3</v>
      </c>
      <c r="H14" s="56">
        <v>90</v>
      </c>
      <c r="I14" s="56">
        <v>90.3</v>
      </c>
      <c r="J14" s="56">
        <v>90.2</v>
      </c>
      <c r="K14" s="60">
        <v>3</v>
      </c>
      <c r="L14" s="56">
        <v>86.6</v>
      </c>
      <c r="M14" s="56">
        <v>88.8</v>
      </c>
      <c r="N14" s="56">
        <v>88.1</v>
      </c>
      <c r="BE14" s="56" t="s"/>
    </row>
    <row r="15" spans="5:57" ht="30" hidden="1" customHeight="1">
      <c r="E15" s="56" t="s"/>
      <c r="G15" s="63">
        <v>4</v>
      </c>
      <c r="H15" s="56">
        <v>93.1</v>
      </c>
      <c r="I15" s="56">
        <v>87.7</v>
      </c>
      <c r="J15" s="56">
        <v>88</v>
      </c>
      <c r="K15" s="63">
        <v>4</v>
      </c>
      <c r="L15" s="56">
        <v>89.4</v>
      </c>
      <c r="M15" s="56">
        <v>92.6</v>
      </c>
      <c r="N15" s="56">
        <v>90.7</v>
      </c>
      <c r="BE15" s="56" t="s"/>
    </row>
    <row r="16" spans="7:57" ht="30" hidden="1" customHeight="1">
      <c r="G16" s="63">
        <v>5</v>
      </c>
      <c r="H16" s="56">
        <v>92</v>
      </c>
      <c r="I16" s="56">
        <v>89.6</v>
      </c>
      <c r="J16" s="56">
        <v>89.6</v>
      </c>
      <c r="K16" s="60">
        <v>5</v>
      </c>
      <c r="L16" s="56">
        <v>91.2</v>
      </c>
      <c r="M16" s="56">
        <v>88.9</v>
      </c>
      <c r="N16" s="56">
        <v>88.3</v>
      </c>
      <c r="BE16" s="56" t="s"/>
    </row>
    <row r="17" spans="7:57" ht="30" hidden="1" customHeight="1">
      <c r="G17" s="60">
        <v>6</v>
      </c>
      <c r="H17" s="56">
        <v>91</v>
      </c>
      <c r="I17" s="56">
        <v>86.5</v>
      </c>
      <c r="J17" s="56">
        <v>87</v>
      </c>
      <c r="K17" s="60">
        <v>6</v>
      </c>
      <c r="L17" s="56">
        <v>90.7</v>
      </c>
      <c r="M17" s="56">
        <v>92</v>
      </c>
      <c r="N17" s="56">
        <v>91.1</v>
      </c>
      <c r="BE17" s="56" t="s"/>
    </row>
    <row r="18" spans="7:57" ht="30" hidden="1" customHeight="1">
      <c r="G18" s="63">
        <v>7</v>
      </c>
      <c r="H18" s="56">
        <v>91.4</v>
      </c>
      <c r="I18" s="56">
        <v>89.3</v>
      </c>
      <c r="J18" s="56">
        <v>89.1</v>
      </c>
      <c r="K18" s="63">
        <v>7</v>
      </c>
      <c r="L18" s="56">
        <v>90.1</v>
      </c>
      <c r="M18" s="56">
        <v>89.8</v>
      </c>
      <c r="N18" s="56">
        <v>87.7</v>
      </c>
      <c r="BE18" s="56" t="s"/>
    </row>
    <row r="19" spans="7:57" ht="30" hidden="1" customHeight="1">
      <c r="G19" s="63">
        <v>8</v>
      </c>
      <c r="H19" s="56">
        <v>88.1</v>
      </c>
      <c r="I19" s="56">
        <v>93.5</v>
      </c>
      <c r="J19" s="56">
        <v>91.3</v>
      </c>
      <c r="K19" s="60">
        <v>8</v>
      </c>
      <c r="L19" s="56">
        <v>87.6</v>
      </c>
      <c r="M19" s="56">
        <v>89.2</v>
      </c>
      <c r="N19" s="56">
        <v>89.2</v>
      </c>
      <c r="BE19" s="56" t="s"/>
    </row>
    <row r="20" spans="7:57" ht="30" hidden="1" customHeight="1">
      <c r="G20" s="60">
        <v>9</v>
      </c>
      <c r="H20" s="56">
        <v>91.2</v>
      </c>
      <c r="I20" s="56">
        <v>88</v>
      </c>
      <c r="J20" s="56">
        <v>89.2</v>
      </c>
      <c r="K20" s="60">
        <v>9</v>
      </c>
      <c r="L20" s="56">
        <v>88.2</v>
      </c>
      <c r="M20" s="56">
        <v>89.5</v>
      </c>
      <c r="N20" s="56">
        <v>87.1</v>
      </c>
      <c r="BE20" s="56" t="s"/>
    </row>
    <row r="21" spans="7:57" ht="30" hidden="1" customHeight="1">
      <c r="G21" s="63">
        <v>10</v>
      </c>
      <c r="H21" s="56">
        <v>91.2</v>
      </c>
      <c r="I21" s="56">
        <v>90.2</v>
      </c>
      <c r="J21" s="56">
        <v>89.6</v>
      </c>
      <c r="K21" s="63">
        <v>10</v>
      </c>
      <c r="L21" s="56">
        <v>87</v>
      </c>
      <c r="M21" s="56">
        <v>86.5</v>
      </c>
      <c r="N21" s="56">
        <v>86.4</v>
      </c>
      <c r="BE21" s="56" t="s"/>
    </row>
    <row r="22" spans="7:57" ht="30" hidden="1" customHeight="1">
      <c r="G22" s="63">
        <v>11</v>
      </c>
      <c r="H22" s="56">
        <v>96.4</v>
      </c>
      <c r="I22" s="56">
        <v>94.8</v>
      </c>
      <c r="J22" s="56">
        <v>92.8</v>
      </c>
      <c r="K22" s="60">
        <v>11</v>
      </c>
      <c r="L22" s="56">
        <v>97</v>
      </c>
      <c r="M22" s="56">
        <v>93.8</v>
      </c>
      <c r="N22" s="56">
        <v>93.7</v>
      </c>
      <c r="BE22" s="56" t="s"/>
    </row>
    <row r="23" spans="7:57" ht="30" hidden="1" customHeight="1">
      <c r="G23" s="60">
        <v>12</v>
      </c>
      <c r="H23" s="56">
        <v>87</v>
      </c>
      <c r="I23" s="56">
        <v>88.5</v>
      </c>
      <c r="J23" s="56">
        <v>87.3</v>
      </c>
      <c r="K23" s="60">
        <v>12</v>
      </c>
      <c r="L23" s="56">
        <v>89.5</v>
      </c>
      <c r="M23" s="56">
        <v>86.1</v>
      </c>
      <c r="N23" s="56">
        <v>86.3</v>
      </c>
      <c r="BE23" s="56" t="s"/>
    </row>
    <row r="24" spans="7:57" ht="30" hidden="1" customHeight="1">
      <c r="G24" s="63">
        <v>13</v>
      </c>
      <c r="H24" s="56">
        <v>98.6</v>
      </c>
      <c r="I24" s="56">
        <v>92.1</v>
      </c>
      <c r="J24" s="56">
        <v>88.8</v>
      </c>
      <c r="K24" s="63">
        <v>13</v>
      </c>
      <c r="L24" s="56">
        <v>89.3</v>
      </c>
      <c r="M24" s="56">
        <v>95.7</v>
      </c>
      <c r="N24" s="56">
        <v>92.1</v>
      </c>
      <c r="BE24" s="56" t="s"/>
    </row>
    <row r="25" spans="7:57" ht="30" hidden="1" customHeight="1">
      <c r="G25" s="63">
        <v>14</v>
      </c>
      <c r="H25" s="56">
        <v>91.7</v>
      </c>
      <c r="I25" s="56">
        <v>91</v>
      </c>
      <c r="J25" s="56">
        <v>89.8</v>
      </c>
      <c r="K25" s="60">
        <v>14</v>
      </c>
      <c r="L25" s="56">
        <v>87.1</v>
      </c>
      <c r="M25" s="56">
        <v>92</v>
      </c>
      <c r="N25" s="56">
        <v>90.8</v>
      </c>
      <c r="BE25" s="56" t="s"/>
    </row>
    <row r="26" spans="7:57" ht="30" hidden="1" customHeight="1">
      <c r="G26" s="60">
        <v>15</v>
      </c>
      <c r="H26" s="56">
        <v>91.7</v>
      </c>
      <c r="I26" s="56">
        <v>90.4</v>
      </c>
      <c r="J26" s="56">
        <v>88</v>
      </c>
      <c r="K26" s="60">
        <v>15</v>
      </c>
      <c r="L26" s="56">
        <v>85.8</v>
      </c>
      <c r="M26" s="56">
        <v>85.1</v>
      </c>
      <c r="N26" s="56">
        <v>86.3</v>
      </c>
      <c r="BE26" s="56" t="s"/>
    </row>
    <row r="27" spans="7:57" ht="30" hidden="1" customHeight="1">
      <c r="G27" s="63">
        <v>16</v>
      </c>
      <c r="H27" s="56">
        <v>90.9</v>
      </c>
      <c r="I27" s="56">
        <v>90.8</v>
      </c>
      <c r="J27" s="56">
        <v>90.9</v>
      </c>
      <c r="K27" s="63">
        <v>16</v>
      </c>
      <c r="L27" s="56">
        <v>86.9</v>
      </c>
      <c r="M27" s="56">
        <v>89.7</v>
      </c>
      <c r="N27" s="56">
        <v>88.5</v>
      </c>
      <c r="BE27" s="56" t="s"/>
    </row>
    <row r="28" spans="7:57" ht="30" hidden="1" customHeight="1">
      <c r="G28" s="63">
        <v>17</v>
      </c>
      <c r="H28" s="56">
        <v>93.1</v>
      </c>
      <c r="I28" s="56">
        <v>90.5</v>
      </c>
      <c r="J28" s="56">
        <v>92.2</v>
      </c>
      <c r="K28" s="60">
        <v>17</v>
      </c>
      <c r="L28" s="56">
        <v>88</v>
      </c>
      <c r="M28" s="56">
        <v>87.3</v>
      </c>
      <c r="N28" s="56">
        <v>87.4</v>
      </c>
      <c r="BE28" s="56" t="s"/>
    </row>
    <row r="29" spans="7:57" ht="30" hidden="1" customHeight="1">
      <c r="G29" s="60">
        <v>18</v>
      </c>
      <c r="H29" s="56">
        <v>91.9</v>
      </c>
      <c r="I29" s="56">
        <v>89.5</v>
      </c>
      <c r="J29" s="56">
        <v>90</v>
      </c>
      <c r="K29" s="60">
        <v>18</v>
      </c>
      <c r="L29" s="56">
        <v>92.1</v>
      </c>
      <c r="M29" s="56">
        <v>90.6</v>
      </c>
      <c r="N29" s="56">
        <v>89.7</v>
      </c>
      <c r="BE29" s="56" t="s"/>
    </row>
    <row r="30" spans="7:57" ht="30" hidden="1" customHeight="1">
      <c r="G30" s="63">
        <v>19</v>
      </c>
      <c r="H30" s="56">
        <v>92.9</v>
      </c>
      <c r="I30" s="56">
        <v>89.6</v>
      </c>
      <c r="J30" s="56">
        <v>90.5</v>
      </c>
      <c r="K30" s="63">
        <v>19</v>
      </c>
      <c r="L30" s="56">
        <v>89.6</v>
      </c>
      <c r="M30" s="56">
        <v>91.3</v>
      </c>
      <c r="N30" s="56">
        <v>91.8</v>
      </c>
      <c r="BE30" s="56" t="s"/>
    </row>
    <row r="31" spans="7:57" ht="30" hidden="1" customHeight="1">
      <c r="G31" s="63">
        <v>20</v>
      </c>
      <c r="H31" s="56">
        <v>89</v>
      </c>
      <c r="I31" s="56">
        <v>83.5</v>
      </c>
      <c r="J31" s="56">
        <v>83.5</v>
      </c>
      <c r="K31" s="60">
        <v>20</v>
      </c>
      <c r="L31" s="56">
        <v>90.1</v>
      </c>
      <c r="M31" s="56">
        <v>90.8</v>
      </c>
      <c r="N31" s="56">
        <v>89.2</v>
      </c>
      <c r="BE31" s="56" t="s"/>
    </row>
    <row r="32" spans="7:57" ht="30" customHeight="1">
      <c r="G32" s="60">
        <v>21</v>
      </c>
      <c r="H32" s="56">
        <v>90.4</v>
      </c>
      <c r="I32" s="56">
        <v>90.4</v>
      </c>
      <c r="J32" s="56">
        <v>88.5</v>
      </c>
      <c r="K32" s="60">
        <v>21</v>
      </c>
      <c r="L32" s="56">
        <v>88</v>
      </c>
      <c r="M32" s="56">
        <v>87.8</v>
      </c>
      <c r="N32" s="56">
        <v>88.3</v>
      </c>
      <c r="BE32" s="56" t="s"/>
    </row>
    <row r="33" spans="7:57" ht="30" customHeight="1">
      <c r="G33" s="63">
        <v>22</v>
      </c>
      <c r="H33" s="56">
        <v>92.9</v>
      </c>
      <c r="I33" s="56">
        <v>89.6</v>
      </c>
      <c r="J33" s="56">
        <v>87.2</v>
      </c>
      <c r="K33" s="63">
        <v>22</v>
      </c>
      <c r="L33" s="56">
        <v>87.1</v>
      </c>
      <c r="M33" s="56">
        <v>86.3</v>
      </c>
      <c r="N33" s="56">
        <v>85</v>
      </c>
      <c r="BE33" s="56" t="s"/>
    </row>
    <row r="34" spans="7:57" ht="30" customHeight="1">
      <c r="G34" s="63">
        <v>23</v>
      </c>
      <c r="H34" s="56">
        <v>92.4</v>
      </c>
      <c r="I34" s="56">
        <v>87.6</v>
      </c>
      <c r="J34" s="56">
        <v>87</v>
      </c>
      <c r="K34" s="60">
        <v>23</v>
      </c>
      <c r="L34" s="56">
        <v>89.5</v>
      </c>
      <c r="M34" s="56">
        <v>89.5</v>
      </c>
      <c r="N34" s="56">
        <v>89</v>
      </c>
      <c r="BE34" s="56" t="s"/>
    </row>
    <row r="35" spans="7:57" ht="30" customHeight="1">
      <c r="G35" s="60">
        <v>24</v>
      </c>
      <c r="H35" s="56">
        <v>95.2</v>
      </c>
      <c r="I35" s="56">
        <v>91.7</v>
      </c>
      <c r="J35" s="56">
        <v>91.1</v>
      </c>
      <c r="K35" s="60">
        <v>24</v>
      </c>
      <c r="L35" s="56">
        <v>91.3</v>
      </c>
      <c r="M35" s="56">
        <v>90.7</v>
      </c>
      <c r="N35" s="56">
        <v>89.4</v>
      </c>
      <c r="BE35" s="56" t="s"/>
    </row>
    <row r="36" spans="7:57" ht="30" customHeight="1">
      <c r="G36" s="63">
        <v>25</v>
      </c>
      <c r="H36" s="56">
        <v>92.6</v>
      </c>
      <c r="I36" s="56">
        <v>93.4</v>
      </c>
      <c r="J36" s="56">
        <v>91.1</v>
      </c>
      <c r="K36" s="63">
        <v>25</v>
      </c>
      <c r="L36" s="56">
        <v>88</v>
      </c>
      <c r="M36" s="56">
        <v>86.8</v>
      </c>
      <c r="N36" s="56">
        <v>85.6</v>
      </c>
      <c r="X36" s="56" t="s"/>
      <c r="Y36" s="56" t="s"/>
      <c r="Z36" s="56" t="s"/>
      <c r="AA36" s="56" t="s"/>
      <c r="AB36" s="56" t="s"/>
      <c r="AC36" s="56" t="s"/>
      <c r="BE36" s="56" t="s"/>
    </row>
    <row r="37" spans="7:57" ht="30" customHeight="1">
      <c r="G37" s="63">
        <v>26</v>
      </c>
      <c r="H37" s="56">
        <v>92.1</v>
      </c>
      <c r="I37" s="56">
        <v>92.4</v>
      </c>
      <c r="J37" s="56">
        <v>93.7</v>
      </c>
      <c r="K37" s="60">
        <v>26</v>
      </c>
      <c r="L37" s="56">
        <v>93.7</v>
      </c>
      <c r="M37" s="56">
        <v>86.6</v>
      </c>
      <c r="N37" s="56">
        <v>86.7</v>
      </c>
      <c r="X37" s="56" t="s"/>
      <c r="Y37" s="56" t="s"/>
      <c r="Z37" s="56" t="s"/>
      <c r="AA37" s="56" t="s"/>
      <c r="AB37" s="56" t="s"/>
      <c r="AC37" s="56" t="s"/>
      <c r="BE37" s="56" t="s"/>
    </row>
    <row r="38" spans="7:57" ht="30" customHeight="1">
      <c r="G38" s="60">
        <v>27</v>
      </c>
      <c r="H38" s="51">
        <v>88.8</v>
      </c>
      <c r="I38" s="56">
        <v>86.7</v>
      </c>
      <c r="J38" s="56">
        <v>84.5</v>
      </c>
      <c r="K38" s="60">
        <v>27</v>
      </c>
      <c r="L38" s="56">
        <v>89.1</v>
      </c>
      <c r="M38" s="56">
        <v>90.3</v>
      </c>
      <c r="N38" s="56">
        <v>89.5</v>
      </c>
      <c r="BE38" s="56" t="s"/>
    </row>
    <row r="39" spans="7:57" ht="30" customHeight="1">
      <c r="G39" s="63">
        <v>28</v>
      </c>
      <c r="H39" s="56">
        <v>84</v>
      </c>
      <c r="I39" s="56">
        <v>87.8</v>
      </c>
      <c r="J39" s="56">
        <v>88.1</v>
      </c>
      <c r="K39" s="63">
        <v>28</v>
      </c>
      <c r="L39" s="56">
        <v>87.3</v>
      </c>
      <c r="M39" s="56">
        <v>85.8</v>
      </c>
      <c r="N39" s="56">
        <v>84.9</v>
      </c>
      <c r="BE39" s="56" t="s"/>
    </row>
    <row r="40" spans="7:57" ht="30" customHeight="1">
      <c r="G40" s="63">
        <v>29</v>
      </c>
      <c r="H40" s="56">
        <v>86.4</v>
      </c>
      <c r="I40" s="56">
        <v>89.3</v>
      </c>
      <c r="J40" s="56">
        <v>86.9</v>
      </c>
      <c r="K40" s="60">
        <v>29</v>
      </c>
      <c r="L40" s="56">
        <v>85.2</v>
      </c>
      <c r="M40" s="56">
        <v>88.4</v>
      </c>
      <c r="N40" s="56">
        <v>88.8</v>
      </c>
      <c r="BE40" s="56" t="s"/>
    </row>
    <row r="41" spans="7:57" ht="30" customHeight="1">
      <c r="G41" s="60">
        <v>30</v>
      </c>
      <c r="K41" s="60">
        <v>30</v>
      </c>
      <c r="BE41" s="56" t="s"/>
    </row>
    <row r="42" spans="11:57" ht="30" customHeight="1">
      <c r="K42" s="63">
        <v>31</v>
      </c>
      <c r="BE42" s="56" t="s"/>
    </row>
    <row r="43" spans="11:57" ht="30" customHeight="1">
      <c r="K43" s="60">
        <v>32</v>
      </c>
      <c r="BE43" s="56" t="s"/>
    </row>
    <row r="44" spans="11:57" ht="30" customHeight="1">
      <c r="K44" s="60">
        <v>33</v>
      </c>
      <c r="BE44" s="56" t="s"/>
    </row>
    <row r="45" spans="57:57" ht="30" customHeight="1">
      <c r="BE45" s="56" t="s"/>
    </row>
    <row r="46" spans="57:57" ht="30" customHeight="1">
      <c r="BE46" s="56" t="s"/>
    </row>
    <row r="47" spans="57:57" ht="30" customHeight="1">
      <c r="BE47" s="56" t="s"/>
    </row>
    <row r="48" spans="57:57" ht="30" customHeight="1">
      <c r="BE48" s="56" t="s"/>
    </row>
    <row r="49" spans="57:57" ht="30" customHeight="1">
      <c r="BE49" s="56" t="s"/>
    </row>
    <row r="50" spans="57:57" ht="30" customHeight="1">
      <c r="BE50" s="56" t="s"/>
    </row>
    <row r="51" spans="57:57" ht="30" customHeight="1">
      <c r="BE51" s="56" t="s"/>
    </row>
    <row r="52" spans="57:57" ht="30" customHeight="1">
      <c r="BE52" s="56" t="s"/>
    </row>
    <row r="53" spans="57:57" ht="30" customHeight="1">
      <c r="BE53" s="56" t="s"/>
    </row>
    <row r="54" spans="57:57" ht="30" customHeight="1">
      <c r="BE54" s="56" t="s"/>
    </row>
    <row r="55" spans="57:57" ht="30" customHeight="1">
      <c r="BE55" s="56" t="s"/>
    </row>
    <row r="56" spans="57:57" ht="30" customHeight="1">
      <c r="BE56" s="56" t="s"/>
    </row>
    <row r="57" spans="57:57" ht="30" customHeight="1">
      <c r="BE57" s="56" t="s"/>
    </row>
    <row r="58" spans="57:57" ht="30" customHeight="1">
      <c r="BE58" s="56" t="s"/>
    </row>
    <row r="59" spans="57:57" ht="30" customHeight="1">
      <c r="BE59" s="56" t="s"/>
    </row>
    <row r="60" spans="57:57" ht="30" customHeight="1">
      <c r="BE60" s="56" t="s"/>
    </row>
    <row r="61" spans="57:57" ht="30" customHeight="1">
      <c r="BE61" s="56" t="s"/>
    </row>
    <row r="62" spans="57:57" ht="30" customHeight="1">
      <c r="BE62" s="56" t="s"/>
    </row>
    <row r="63" spans="57:57" ht="30" customHeight="1">
      <c r="BE63" s="56" t="s"/>
    </row>
    <row r="64" spans="57:57" ht="30" customHeight="1">
      <c r="BE64" s="56" t="s"/>
    </row>
    <row r="65" spans="57:57" ht="30" customHeight="1">
      <c r="BE65" s="56" t="s"/>
    </row>
    <row r="66" spans="57:57" ht="30" customHeight="1">
      <c r="BE66" s="56" t="s"/>
    </row>
    <row r="67" spans="57:57" ht="30" customHeight="1">
      <c r="BE67" s="56" t="s"/>
    </row>
    <row r="68" spans="57:57" ht="30" customHeight="1">
      <c r="BE68" s="56" t="s"/>
    </row>
    <row r="69" spans="57:57" ht="30" customHeight="1">
      <c r="BE69" s="56" t="s"/>
    </row>
    <row r="70" spans="57:57" ht="30" customHeight="1">
      <c r="BE70" s="56" t="s"/>
    </row>
    <row r="71" spans="57:57" ht="30" customHeight="1">
      <c r="BE71" s="56" t="s"/>
    </row>
    <row r="72" spans="57:57" ht="30" customHeight="1">
      <c r="BE72" s="56" t="s"/>
    </row>
    <row r="73" spans="57:57" ht="30" customHeight="1">
      <c r="BE73" s="56" t="s"/>
    </row>
    <row r="74" spans="57:57" ht="30" customHeight="1">
      <c r="BE74" s="56" t="s"/>
    </row>
    <row r="75" spans="57:57" ht="30" customHeight="1">
      <c r="BE75" s="56" t="s"/>
    </row>
    <row r="76" spans="57:57" ht="30" customHeight="1">
      <c r="BE76" s="56" t="s"/>
    </row>
    <row r="77" spans="57:57" ht="30" customHeight="1">
      <c r="BE77" s="56" t="s"/>
    </row>
    <row r="78" spans="57:57" ht="30" customHeight="1">
      <c r="BE78" s="56" t="s"/>
    </row>
    <row r="79" spans="57:57" ht="30" customHeight="1">
      <c r="BE79" s="56" t="s"/>
    </row>
    <row r="80" spans="57:57" ht="30" customHeight="1">
      <c r="BE80" s="56" t="s"/>
    </row>
    <row r="81" spans="57:57" ht="30" customHeight="1">
      <c r="BE81" s="56" t="s"/>
    </row>
    <row r="82" spans="57:57" ht="30" customHeight="1">
      <c r="BE82" s="56" t="s"/>
    </row>
    <row r="83" spans="57:57" ht="30" customHeight="1">
      <c r="BE83" s="56" t="s"/>
    </row>
    <row r="84" spans="57:57" ht="30" customHeight="1">
      <c r="BE84" s="56" t="s"/>
    </row>
    <row r="85" spans="57:57" ht="30" customHeight="1">
      <c r="BE85" s="56" t="s"/>
    </row>
    <row r="86" spans="57:57" ht="30" customHeight="1">
      <c r="BE86" s="56" t="s"/>
    </row>
    <row r="87" spans="57:57" ht="30" customHeight="1">
      <c r="BE87" s="56" t="s"/>
    </row>
    <row r="88" spans="57:57" ht="30" customHeight="1">
      <c r="BE88" s="56" t="s"/>
    </row>
    <row r="89" spans="57:57" ht="30" customHeight="1">
      <c r="BE89" s="56" t="s"/>
    </row>
    <row r="90" spans="57:57" ht="30" customHeight="1">
      <c r="BE90" s="56" t="s"/>
    </row>
    <row r="91" spans="57:57" ht="30" customHeight="1">
      <c r="BE91" s="56" t="s"/>
    </row>
    <row r="92" spans="57:57" ht="30" customHeight="1">
      <c r="BE92" s="56" t="s"/>
    </row>
    <row r="93" spans="57:57" ht="30" customHeight="1">
      <c r="BE93" s="56" t="s"/>
    </row>
    <row r="94" spans="57:57" ht="30" customHeight="1">
      <c r="BE94" s="56" t="s"/>
    </row>
    <row r="95" spans="57:57" ht="30" customHeight="1">
      <c r="BE95" s="56" t="s"/>
    </row>
    <row r="96" spans="57:57" ht="30" customHeight="1">
      <c r="BE96" s="56" t="s"/>
    </row>
    <row r="97" spans="57:57" ht="30" customHeight="1">
      <c r="BE97" s="56" t="s"/>
    </row>
    <row r="98" spans="57:57" ht="30" customHeight="1">
      <c r="BE98" s="56" t="s"/>
    </row>
    <row r="99" spans="57:57" ht="30" customHeight="1">
      <c r="BE99" s="56" t="s"/>
    </row>
    <row r="100" spans="57:57" ht="30" customHeight="1">
      <c r="BE100" s="56" t="s"/>
    </row>
    <row r="101" spans="57:57" ht="30" customHeight="1">
      <c r="BE101" s="56" t="s"/>
    </row>
    <row r="102" spans="57:57" ht="30" customHeight="1">
      <c r="BE102" s="56" t="s"/>
    </row>
    <row r="103" spans="57:57" ht="30" customHeight="1">
      <c r="BE103" s="56" t="s"/>
    </row>
    <row r="104" spans="57:57" ht="30" customHeight="1">
      <c r="BE104" s="56" t="s"/>
    </row>
    <row r="105" spans="57:57" ht="30" customHeight="1">
      <c r="BE105" s="56" t="s"/>
    </row>
    <row r="106" spans="57:57" ht="30" customHeight="1">
      <c r="BE106" s="56" t="s"/>
    </row>
    <row r="107" spans="57:57" ht="30" customHeight="1">
      <c r="BE107" s="56" t="s"/>
    </row>
    <row r="108" spans="57:57" ht="30" customHeight="1">
      <c r="BE108" s="56" t="s"/>
    </row>
    <row r="109" spans="57:57" ht="30" customHeight="1">
      <c r="BE109" s="56" t="s"/>
    </row>
    <row r="110" spans="57:57" ht="30" customHeight="1">
      <c r="BE110" s="56" t="s"/>
    </row>
    <row r="111" spans="57:57" ht="30" customHeight="1">
      <c r="BE111" s="56" t="s"/>
    </row>
    <row r="112" spans="57:57" ht="30" customHeight="1">
      <c r="BE112" s="56" t="s"/>
    </row>
    <row r="113" spans="57:57" ht="30" customHeight="1">
      <c r="BE113" s="56" t="s"/>
    </row>
    <row r="114" spans="57:57" ht="30" customHeight="1">
      <c r="BE114" s="56" t="s"/>
    </row>
    <row r="115" spans="57:57" ht="30" customHeight="1">
      <c r="BE115" s="56" t="s"/>
    </row>
    <row r="116" spans="57:57" ht="30" customHeight="1">
      <c r="BE116" s="56" t="s"/>
    </row>
    <row r="117" spans="57:57" ht="30" customHeight="1">
      <c r="BE117" s="56" t="s"/>
    </row>
    <row r="118" spans="57:57" ht="30" customHeight="1">
      <c r="BE118" s="56" t="s"/>
    </row>
    <row r="119" spans="57:57" ht="30" customHeight="1">
      <c r="BE119" s="56" t="s"/>
    </row>
    <row r="120" spans="57:57" ht="30" customHeight="1">
      <c r="BE120" s="56" t="s"/>
    </row>
    <row r="121" spans="57:57" ht="30" customHeight="1">
      <c r="BE121" s="56" t="s"/>
    </row>
    <row r="122" spans="57:57" ht="30" customHeight="1">
      <c r="BE122" s="56" t="s"/>
    </row>
    <row r="123" spans="57:57" ht="30" customHeight="1">
      <c r="BE123" s="56" t="s"/>
    </row>
    <row r="124" spans="57:57" ht="30" customHeight="1">
      <c r="BE124" s="56" t="s"/>
    </row>
    <row r="125" spans="57:57" ht="30" customHeight="1">
      <c r="BE125" s="56" t="s"/>
    </row>
    <row r="126" spans="57:57" ht="30" customHeight="1">
      <c r="BE126" s="56" t="s"/>
    </row>
    <row r="127" spans="57:57" ht="30" customHeight="1">
      <c r="BE127" s="56" t="s"/>
    </row>
    <row r="128" spans="57:57" ht="30" customHeight="1">
      <c r="BE128" s="56" t="s"/>
    </row>
    <row r="129" spans="57:57" ht="30" customHeight="1">
      <c r="BE129" s="56" t="s"/>
    </row>
    <row r="130" spans="57:57" ht="30" customHeight="1">
      <c r="BE130" s="56" t="s"/>
    </row>
    <row r="131" spans="57:57" ht="30" customHeight="1">
      <c r="BE131" s="56" t="s"/>
    </row>
    <row r="132" spans="1:57" s="115" customFormat="1" ht="30" customHeight="1">
      <c r="A132" s="106" t="s"/>
      <c r="B132" s="106" t="s"/>
      <c r="C132" s="106" t="s"/>
      <c r="D132" s="107" t="s">
        <v>5</v>
      </c>
      <c r="E132" s="106">
        <v>1</v>
      </c>
      <c r="F132" s="106">
        <v>2</v>
      </c>
      <c r="G132" s="106">
        <v>3</v>
      </c>
      <c r="H132" s="106">
        <v>4</v>
      </c>
      <c r="I132" s="106">
        <v>5</v>
      </c>
      <c r="J132" s="106">
        <v>6</v>
      </c>
      <c r="K132" s="106">
        <v>7</v>
      </c>
      <c r="L132" s="106">
        <v>8</v>
      </c>
      <c r="M132" s="106">
        <v>9</v>
      </c>
      <c r="N132" s="106">
        <v>10</v>
      </c>
      <c r="O132" s="106">
        <v>11</v>
      </c>
      <c r="P132" s="106">
        <v>12</v>
      </c>
      <c r="Q132" s="106">
        <v>13</v>
      </c>
      <c r="R132" s="106">
        <v>14</v>
      </c>
      <c r="S132" s="106">
        <v>15</v>
      </c>
      <c r="T132" s="106">
        <v>16</v>
      </c>
      <c r="U132" s="106">
        <v>17</v>
      </c>
      <c r="V132" s="106">
        <v>18</v>
      </c>
      <c r="W132" s="106">
        <v>19</v>
      </c>
      <c r="X132" s="106">
        <v>20</v>
      </c>
      <c r="Y132" s="106">
        <v>21</v>
      </c>
      <c r="Z132" s="106">
        <v>22</v>
      </c>
      <c r="AA132" s="106">
        <v>23</v>
      </c>
      <c r="AB132" s="106">
        <v>24</v>
      </c>
      <c r="AC132" s="106">
        <v>25</v>
      </c>
      <c r="AD132" s="106">
        <v>26</v>
      </c>
      <c r="AE132" s="106">
        <v>27</v>
      </c>
      <c r="AF132" s="106">
        <v>28</v>
      </c>
      <c r="AG132" s="106">
        <v>29</v>
      </c>
      <c r="AH132" s="106">
        <v>30</v>
      </c>
      <c r="AI132" s="106">
        <v>31</v>
      </c>
      <c r="AJ132" s="106">
        <v>32</v>
      </c>
      <c r="AK132" s="106">
        <v>33</v>
      </c>
      <c r="AL132" s="106">
        <v>34</v>
      </c>
      <c r="AM132" s="106">
        <v>35</v>
      </c>
      <c r="AN132" s="106">
        <v>36</v>
      </c>
      <c r="AO132" s="106">
        <v>37</v>
      </c>
      <c r="AP132" s="106">
        <v>38</v>
      </c>
      <c r="AQ132" s="106">
        <v>39</v>
      </c>
      <c r="AR132" s="106">
        <v>40</v>
      </c>
      <c r="AS132" s="106">
        <v>41</v>
      </c>
      <c r="AT132" s="106">
        <v>42</v>
      </c>
      <c r="AU132" s="106">
        <v>43</v>
      </c>
      <c r="AV132" s="106">
        <v>44</v>
      </c>
      <c r="AW132" s="106">
        <v>45</v>
      </c>
      <c r="AX132" s="106">
        <v>46</v>
      </c>
      <c r="AY132" s="106">
        <v>47</v>
      </c>
      <c r="AZ132" s="106">
        <v>48</v>
      </c>
      <c r="BA132" s="106">
        <v>49</v>
      </c>
      <c r="BB132" s="106">
        <v>50</v>
      </c>
      <c r="BC132" s="106">
        <v>51</v>
      </c>
      <c r="BD132" s="106">
        <v>52</v>
      </c>
      <c r="BE132" s="106">
        <v>2</v>
      </c>
    </row>
    <row r="133" spans="1:57" ht="30" customHeight="1">
      <c r="A133" s="108" t="s"/>
      <c r="B133" s="108" t="s"/>
      <c r="C133" s="108" t="s"/>
      <c r="D133" s="84" t="s">
        <v>24</v>
      </c>
      <c r="E133" s="108">
        <v>3</v>
      </c>
      <c r="F133" s="108">
        <v>4</v>
      </c>
      <c r="G133" s="108">
        <v>3</v>
      </c>
      <c r="H133" s="108">
        <v>4</v>
      </c>
      <c r="I133" s="108">
        <v>1</v>
      </c>
      <c r="J133" s="108">
        <v>4</v>
      </c>
      <c r="K133" s="108">
        <v>4</v>
      </c>
      <c r="L133" s="108">
        <v>2</v>
      </c>
      <c r="M133" s="108">
        <v>2</v>
      </c>
      <c r="N133" s="108">
        <v>1</v>
      </c>
      <c r="O133" s="108">
        <v>2</v>
      </c>
      <c r="P133" s="108">
        <v>1</v>
      </c>
      <c r="Q133" s="108">
        <v>1</v>
      </c>
      <c r="R133" s="108">
        <v>3</v>
      </c>
      <c r="S133" s="108">
        <v>1</v>
      </c>
      <c r="T133" s="108">
        <v>1</v>
      </c>
      <c r="U133" s="108">
        <v>3</v>
      </c>
      <c r="V133" s="108">
        <v>1</v>
      </c>
      <c r="W133" s="108">
        <v>3</v>
      </c>
      <c r="X133" s="108">
        <v>2</v>
      </c>
      <c r="Y133" s="108">
        <v>2</v>
      </c>
      <c r="Z133" s="108">
        <v>3</v>
      </c>
      <c r="AA133" s="108">
        <v>4</v>
      </c>
      <c r="AB133" s="108">
        <v>1</v>
      </c>
      <c r="AC133" s="108">
        <v>2</v>
      </c>
      <c r="AD133" s="108">
        <v>1</v>
      </c>
      <c r="AE133" s="108">
        <v>2</v>
      </c>
      <c r="AF133" s="108">
        <v>1</v>
      </c>
      <c r="AG133" s="108">
        <v>4</v>
      </c>
      <c r="AH133" s="108" t="s"/>
      <c r="AI133" s="108" t="s"/>
      <c r="AJ133" s="108" t="s"/>
      <c r="AK133" s="108" t="s"/>
      <c r="AL133" s="108" t="s"/>
      <c r="AM133" s="108" t="s"/>
      <c r="AN133" s="108" t="s"/>
      <c r="AO133" s="108" t="s"/>
      <c r="AP133" s="108" t="s"/>
      <c r="AQ133" s="108" t="s"/>
      <c r="AR133" s="108" t="s"/>
      <c r="AS133" s="108" t="s"/>
      <c r="AT133" s="108" t="s"/>
      <c r="AU133" s="108" t="s"/>
      <c r="AV133" s="108" t="s"/>
      <c r="AW133" s="108" t="s"/>
      <c r="AX133" s="108" t="s"/>
      <c r="AY133" s="108" t="s"/>
      <c r="AZ133" s="108" t="s"/>
      <c r="BA133" s="108" t="s"/>
      <c r="BB133" s="108" t="s"/>
      <c r="BC133" s="108" t="s"/>
      <c r="BD133" s="108" t="s"/>
      <c r="BE133" s="108" t="s"/>
    </row>
    <row r="134" spans="1:57" ht="30" customHeight="1">
      <c r="A134" s="109" t="s"/>
      <c r="B134" s="109" t="s"/>
      <c r="C134" s="109" t="s"/>
      <c r="D134" s="85" t="s">
        <v>26</v>
      </c>
      <c r="E134" s="109">
        <v>2</v>
      </c>
      <c r="F134" s="109">
        <v>3</v>
      </c>
      <c r="G134" s="109">
        <v>1</v>
      </c>
      <c r="H134" s="109">
        <v>2</v>
      </c>
      <c r="I134" s="109">
        <v>3</v>
      </c>
      <c r="J134" s="109">
        <v>1</v>
      </c>
      <c r="K134" s="109">
        <v>1</v>
      </c>
      <c r="L134" s="109">
        <v>3</v>
      </c>
      <c r="M134" s="109">
        <v>3</v>
      </c>
      <c r="N134" s="109">
        <v>4</v>
      </c>
      <c r="O134" s="109">
        <v>1</v>
      </c>
      <c r="P134" s="109">
        <v>4</v>
      </c>
      <c r="Q134" s="109">
        <v>4</v>
      </c>
      <c r="R134" s="109">
        <v>1</v>
      </c>
      <c r="S134" s="109">
        <v>2</v>
      </c>
      <c r="T134" s="109">
        <v>4</v>
      </c>
      <c r="U134" s="109">
        <v>4</v>
      </c>
      <c r="V134" s="109">
        <v>4</v>
      </c>
      <c r="W134" s="109">
        <v>2</v>
      </c>
      <c r="X134" s="109">
        <v>1</v>
      </c>
      <c r="Y134" s="109">
        <v>4</v>
      </c>
      <c r="Z134" s="109">
        <v>1</v>
      </c>
      <c r="AA134" s="109">
        <v>2</v>
      </c>
      <c r="AB134" s="109">
        <v>2</v>
      </c>
      <c r="AC134" s="109">
        <v>3</v>
      </c>
      <c r="AD134" s="109">
        <v>3</v>
      </c>
      <c r="AE134" s="109">
        <v>1</v>
      </c>
      <c r="AF134" s="109">
        <v>4</v>
      </c>
      <c r="AG134" s="109">
        <v>1</v>
      </c>
      <c r="AH134" s="109" t="s"/>
      <c r="AI134" s="109" t="s"/>
      <c r="AJ134" s="109" t="s"/>
      <c r="AK134" s="109" t="s"/>
      <c r="AL134" s="109" t="s"/>
      <c r="AM134" s="109" t="s"/>
      <c r="AN134" s="109" t="s"/>
      <c r="AO134" s="109" t="s"/>
      <c r="AP134" s="109" t="s"/>
      <c r="AQ134" s="109" t="s"/>
      <c r="AR134" s="109" t="s"/>
      <c r="AS134" s="109" t="s"/>
      <c r="AT134" s="109" t="s"/>
      <c r="AU134" s="109" t="s"/>
      <c r="AV134" s="109" t="s"/>
      <c r="AW134" s="109" t="s"/>
      <c r="AX134" s="109" t="s"/>
      <c r="AY134" s="109" t="s"/>
      <c r="AZ134" s="109" t="s"/>
      <c r="BA134" s="109" t="s"/>
      <c r="BB134" s="109" t="s"/>
      <c r="BC134" s="109" t="s"/>
      <c r="BD134" s="109" t="s"/>
      <c r="BE134" s="109" t="s"/>
    </row>
    <row r="135" spans="1:57" ht="30" customHeight="1">
      <c r="A135" s="110" t="s"/>
      <c r="B135" s="110" t="s"/>
      <c r="C135" s="110" t="s"/>
      <c r="D135" s="87" t="s">
        <v>34</v>
      </c>
      <c r="E135" s="110">
        <v>1</v>
      </c>
      <c r="F135" s="110">
        <v>1</v>
      </c>
      <c r="G135" s="110">
        <v>4</v>
      </c>
      <c r="H135" s="110">
        <v>1</v>
      </c>
      <c r="I135" s="110">
        <v>4</v>
      </c>
      <c r="J135" s="110">
        <v>3</v>
      </c>
      <c r="K135" s="110">
        <v>3</v>
      </c>
      <c r="L135" s="110">
        <v>1</v>
      </c>
      <c r="M135" s="110">
        <v>1</v>
      </c>
      <c r="N135" s="110">
        <v>3</v>
      </c>
      <c r="O135" s="110">
        <v>3</v>
      </c>
      <c r="P135" s="110">
        <v>2</v>
      </c>
      <c r="Q135" s="110">
        <v>3</v>
      </c>
      <c r="R135" s="110">
        <v>4</v>
      </c>
      <c r="S135" s="110">
        <v>4</v>
      </c>
      <c r="T135" s="110">
        <v>3</v>
      </c>
      <c r="U135" s="110">
        <v>1</v>
      </c>
      <c r="V135" s="110">
        <v>3</v>
      </c>
      <c r="W135" s="110">
        <v>4</v>
      </c>
      <c r="X135" s="110">
        <v>4</v>
      </c>
      <c r="Y135" s="110">
        <v>1</v>
      </c>
      <c r="Z135" s="110">
        <v>4</v>
      </c>
      <c r="AA135" s="110">
        <v>3</v>
      </c>
      <c r="AB135" s="110">
        <v>4</v>
      </c>
      <c r="AC135" s="110">
        <v>4</v>
      </c>
      <c r="AD135" s="110">
        <v>2</v>
      </c>
      <c r="AE135" s="110">
        <v>4</v>
      </c>
      <c r="AF135" s="110">
        <v>3</v>
      </c>
      <c r="AG135" s="110">
        <v>2</v>
      </c>
      <c r="AH135" s="110" t="s"/>
      <c r="AI135" s="110" t="s"/>
      <c r="AJ135" s="110" t="s"/>
      <c r="AK135" s="110" t="s"/>
      <c r="AL135" s="110" t="s"/>
      <c r="AM135" s="110" t="s"/>
      <c r="AN135" s="110" t="s"/>
      <c r="AO135" s="110" t="s"/>
      <c r="AP135" s="110" t="s"/>
      <c r="AQ135" s="110" t="s"/>
      <c r="AR135" s="110" t="s"/>
      <c r="AS135" s="110" t="s"/>
      <c r="AT135" s="110" t="s"/>
      <c r="AU135" s="110" t="s"/>
      <c r="AV135" s="110" t="s"/>
      <c r="AW135" s="110" t="s"/>
      <c r="AX135" s="110" t="s"/>
      <c r="AY135" s="110" t="s"/>
      <c r="AZ135" s="110" t="s"/>
      <c r="BA135" s="110" t="s"/>
      <c r="BB135" s="110" t="s"/>
      <c r="BC135" s="110" t="s"/>
      <c r="BD135" s="110" t="s"/>
      <c r="BE135" s="110" t="s"/>
    </row>
    <row r="136" spans="1:57" ht="30" customHeight="1">
      <c r="A136" s="111" t="s"/>
      <c r="B136" s="111" t="s"/>
      <c r="C136" s="111" t="s"/>
      <c r="D136" s="93" t="s">
        <v>32</v>
      </c>
      <c r="E136" s="111">
        <v>4</v>
      </c>
      <c r="F136" s="111">
        <v>2</v>
      </c>
      <c r="G136" s="111">
        <v>2</v>
      </c>
      <c r="H136" s="111">
        <v>3</v>
      </c>
      <c r="I136" s="111">
        <v>2</v>
      </c>
      <c r="J136" s="111">
        <v>2</v>
      </c>
      <c r="K136" s="111">
        <v>2</v>
      </c>
      <c r="L136" s="111">
        <v>4</v>
      </c>
      <c r="M136" s="111">
        <v>4</v>
      </c>
      <c r="N136" s="111">
        <v>2</v>
      </c>
      <c r="O136" s="111">
        <v>4</v>
      </c>
      <c r="P136" s="111">
        <v>3</v>
      </c>
      <c r="Q136" s="111">
        <v>2</v>
      </c>
      <c r="R136" s="111">
        <v>2</v>
      </c>
      <c r="S136" s="111">
        <v>3</v>
      </c>
      <c r="T136" s="111">
        <v>2</v>
      </c>
      <c r="U136" s="111">
        <v>2</v>
      </c>
      <c r="V136" s="111">
        <v>2</v>
      </c>
      <c r="W136" s="111">
        <v>1</v>
      </c>
      <c r="X136" s="111">
        <v>3</v>
      </c>
      <c r="Y136" s="111">
        <v>3</v>
      </c>
      <c r="Z136" s="111">
        <v>2</v>
      </c>
      <c r="AA136" s="111">
        <v>1</v>
      </c>
      <c r="AB136" s="111">
        <v>3</v>
      </c>
      <c r="AC136" s="111">
        <v>1</v>
      </c>
      <c r="AD136" s="111">
        <v>4</v>
      </c>
      <c r="AE136" s="111">
        <v>3</v>
      </c>
      <c r="AF136" s="111">
        <v>2</v>
      </c>
      <c r="AG136" s="111">
        <v>3</v>
      </c>
      <c r="AH136" s="111" t="s"/>
      <c r="AI136" s="111" t="s"/>
      <c r="AJ136" s="111" t="s"/>
      <c r="AK136" s="111" t="s"/>
      <c r="AL136" s="111" t="s"/>
      <c r="AM136" s="111" t="s"/>
      <c r="AN136" s="111" t="s"/>
      <c r="AO136" s="111" t="s"/>
      <c r="AP136" s="111" t="s"/>
      <c r="AQ136" s="111" t="s"/>
      <c r="AR136" s="111" t="s"/>
      <c r="AS136" s="111" t="s"/>
      <c r="AT136" s="111" t="s"/>
      <c r="AU136" s="111" t="s"/>
      <c r="AV136" s="111" t="s"/>
      <c r="AW136" s="111" t="s"/>
      <c r="AX136" s="111" t="s"/>
      <c r="AY136" s="111" t="s"/>
      <c r="AZ136" s="111" t="s"/>
      <c r="BA136" s="111" t="s"/>
      <c r="BB136" s="111" t="s"/>
      <c r="BC136" s="111" t="s"/>
      <c r="BD136" s="111" t="s"/>
      <c r="BE136" s="111" t="s"/>
    </row>
    <row r="137" spans="4:57" ht="30" customHeight="1">
      <c r="D137" s="77" t="s">
        <v>1</v>
      </c>
      <c r="E137" s="78">
        <f>=E2</f>
        <v>29</v>
      </c>
      <c r="BE137" s="56" t="s"/>
    </row>
    <row r="138" spans="57:57" ht="30" customHeight="1">
      <c r="BE138" s="56" t="s"/>
    </row>
    <row r="139" spans="57:57" ht="30" customHeight="1">
      <c r="BE139" s="56" t="s"/>
    </row>
    <row r="140" spans="57:57" ht="30" customHeight="1">
      <c r="BE140" s="56" t="s"/>
    </row>
    <row r="141" spans="57:57" ht="30" customHeight="1">
      <c r="BE141" s="56" t="s"/>
    </row>
    <row r="142" spans="57:57" ht="30" customHeight="1">
      <c r="BE142" s="56" t="s"/>
    </row>
    <row r="143" spans="57:57" ht="30" customHeight="1">
      <c r="BE143" s="56" t="s"/>
    </row>
    <row r="144" spans="57:57" ht="30" customHeight="1">
      <c r="BE144" s="56" t="s"/>
    </row>
    <row r="145" spans="57:57" ht="30" customHeight="1">
      <c r="BE145" s="56" t="s"/>
    </row>
    <row r="146" spans="57:57" ht="30" customHeight="1">
      <c r="BE146" s="56" t="s"/>
    </row>
    <row r="147" spans="57:57" ht="30" customHeight="1">
      <c r="BE147" s="56" t="s"/>
    </row>
    <row r="148" spans="57:57" ht="30" customHeight="1">
      <c r="BE148" s="56" t="s"/>
    </row>
    <row r="149" spans="57:57" ht="30" customHeight="1">
      <c r="BE149" s="56" t="s"/>
    </row>
    <row r="150" spans="57:57" ht="30" customHeight="1">
      <c r="BE150" s="56" t="s"/>
    </row>
    <row r="151" spans="57:57" ht="30" customHeight="1">
      <c r="BE151" s="56" t="s"/>
    </row>
    <row r="152" spans="57:57" ht="30" customHeight="1">
      <c r="BE152" s="56" t="s"/>
    </row>
    <row r="153" spans="57:57" ht="30" customHeight="1">
      <c r="BE153" s="56" t="s"/>
    </row>
    <row r="154" spans="57:57" ht="30" customHeight="1">
      <c r="BE154" s="56" t="s"/>
    </row>
    <row r="155" spans="57:57" ht="30" customHeight="1">
      <c r="BE155" s="56" t="s"/>
    </row>
    <row r="156" spans="57:57" ht="30" customHeight="1">
      <c r="BE156" s="56" t="s"/>
    </row>
    <row r="157" spans="57:57" ht="30" customHeight="1">
      <c r="BE157" s="56" t="s"/>
    </row>
    <row r="158" spans="57:57" ht="30" customHeight="1">
      <c r="BE158" s="56" t="s"/>
    </row>
    <row r="159" spans="57:57" ht="30" customHeight="1">
      <c r="BE159" s="56" t="s"/>
    </row>
    <row r="160" spans="57:57" ht="30" customHeight="1">
      <c r="BE160" s="56" t="s"/>
    </row>
    <row r="161" spans="57:57" ht="30" customHeight="1">
      <c r="BE161" s="56" t="s"/>
    </row>
    <row r="162" spans="57:57" ht="30" customHeight="1">
      <c r="BE162" s="56" t="s"/>
    </row>
    <row r="163" spans="57:57" ht="30" customHeight="1">
      <c r="BE163" s="56" t="s"/>
    </row>
    <row r="164" spans="57:57" ht="30" customHeight="1">
      <c r="BE164" s="56" t="s"/>
    </row>
    <row r="165" spans="57:57" ht="30" customHeight="1">
      <c r="BE165" s="56" t="s"/>
    </row>
    <row r="166" spans="57:57" ht="30" customHeight="1">
      <c r="BE166" s="56" t="s"/>
    </row>
    <row r="167" spans="57:57" ht="30" customHeight="1">
      <c r="BE167" s="56" t="s"/>
    </row>
    <row r="168" spans="57:57" ht="30" customHeight="1">
      <c r="BE168" s="56" t="s"/>
    </row>
    <row r="169" spans="57:57" ht="30" customHeight="1">
      <c r="BE169" s="56" t="s"/>
    </row>
    <row r="170" spans="57:57" ht="30" customHeight="1">
      <c r="BE170" s="56" t="s"/>
    </row>
    <row r="171" spans="57:57" ht="30" customHeight="1">
      <c r="BE171" s="56" t="s"/>
    </row>
    <row r="172" spans="57:57" ht="30" customHeight="1">
      <c r="BE172" s="56" t="s"/>
    </row>
    <row r="173" spans="57:57" ht="30" customHeight="1">
      <c r="BE173" s="56" t="s"/>
    </row>
    <row r="174" spans="57:57" ht="30" customHeight="1">
      <c r="BE174" s="56" t="s"/>
    </row>
    <row r="175" spans="57:57" ht="30" customHeight="1">
      <c r="BE175" s="56" t="s"/>
    </row>
    <row r="176" spans="57:57" ht="30" customHeight="1">
      <c r="BE176" s="56" t="s"/>
    </row>
    <row r="177" spans="57:57" ht="30" customHeight="1">
      <c r="BE177" s="56" t="s"/>
    </row>
    <row r="178" spans="57:57" ht="30" customHeight="1">
      <c r="BE178" s="56" t="s"/>
    </row>
    <row r="179" spans="57:57" ht="30" customHeight="1">
      <c r="BE179" s="56" t="s"/>
    </row>
    <row r="180" spans="57:57" ht="30" customHeight="1">
      <c r="BE180" s="56" t="s"/>
    </row>
    <row r="181" spans="57:57" ht="30" customHeight="1">
      <c r="BE181" s="56" t="s"/>
    </row>
    <row r="182" spans="57:57" ht="30" customHeight="1">
      <c r="BE182" s="56" t="s"/>
    </row>
    <row r="183" spans="57:57" ht="30" customHeight="1">
      <c r="BE183" s="56" t="s"/>
    </row>
    <row r="184" spans="57:57" ht="30" customHeight="1">
      <c r="BE184" s="56" t="s"/>
    </row>
    <row r="185" spans="57:57" ht="30" customHeight="1">
      <c r="BE185" s="56" t="s"/>
    </row>
    <row r="186" spans="57:57" ht="30" customHeight="1">
      <c r="BE186" s="56" t="s"/>
    </row>
    <row r="187" spans="57:57" ht="30" customHeight="1">
      <c r="BE187" s="56" t="s"/>
    </row>
    <row r="188" spans="57:57" ht="30" customHeight="1">
      <c r="BE188" s="56" t="s"/>
    </row>
    <row r="189" spans="57:57" ht="30" customHeight="1">
      <c r="BE189" s="56" t="s"/>
    </row>
    <row r="190" spans="57:57" ht="30" customHeight="1">
      <c r="BE190" s="56" t="s"/>
    </row>
    <row r="191" spans="57:57" ht="30" customHeight="1">
      <c r="BE191" s="56" t="s"/>
    </row>
    <row r="192" spans="57:57" ht="30" customHeight="1">
      <c r="BE192" s="56" t="s"/>
    </row>
    <row r="193" spans="57:57" ht="30" customHeight="1">
      <c r="BE193" s="56" t="s"/>
    </row>
    <row r="194" spans="57:57" ht="30" customHeight="1">
      <c r="BE194" s="56" t="s"/>
    </row>
    <row r="195" spans="57:57" ht="30" customHeight="1">
      <c r="BE195" s="56" t="s"/>
    </row>
    <row r="196" spans="57:57" ht="30" customHeight="1">
      <c r="BE196" s="56" t="s"/>
    </row>
    <row r="197" spans="57:57" ht="30" customHeight="1">
      <c r="BE197" s="56" t="s"/>
    </row>
    <row r="198" spans="57:57" ht="30" customHeight="1">
      <c r="BE198" s="56" t="s"/>
    </row>
    <row r="199" spans="57:57" ht="30" customHeight="1">
      <c r="BE199" s="56" t="s"/>
    </row>
    <row r="200" spans="57:57" ht="30" customHeight="1">
      <c r="BE200" s="56" t="s"/>
    </row>
    <row r="201" spans="57:57" ht="30" customHeight="1">
      <c r="BE201" s="56" t="s"/>
    </row>
    <row r="202" spans="57:57" ht="30" customHeight="1">
      <c r="BE202" s="56" t="s"/>
    </row>
    <row r="203" spans="57:57" ht="30" customHeight="1">
      <c r="BE203" s="56" t="s"/>
    </row>
    <row r="204" spans="57:57" ht="30" customHeight="1">
      <c r="BE204" s="56" t="s"/>
    </row>
    <row r="205" spans="57:57" ht="30" customHeight="1">
      <c r="BE205" s="56" t="s"/>
    </row>
    <row r="206" spans="57:57" ht="30" customHeight="1">
      <c r="BE206" s="56" t="s"/>
    </row>
    <row r="207" spans="57:57" ht="30" customHeight="1">
      <c r="BE207" s="56" t="s"/>
    </row>
    <row r="208" spans="57:57" ht="30" customHeight="1">
      <c r="BE208" s="56" t="s"/>
    </row>
    <row r="209" spans="57:57" ht="30" customHeight="1">
      <c r="BE209" s="56" t="s"/>
    </row>
    <row r="210" spans="57:57" ht="30" customHeight="1">
      <c r="BE210" s="56" t="s"/>
    </row>
    <row r="211" spans="57:57" ht="30" customHeight="1">
      <c r="BE211" s="56" t="s"/>
    </row>
    <row r="212" spans="57:57" ht="30" customHeight="1">
      <c r="BE212" s="56" t="s"/>
    </row>
    <row r="213" spans="57:57" ht="30" customHeight="1">
      <c r="BE213" s="56" t="s"/>
    </row>
    <row r="214" spans="57:57" ht="30" customHeight="1">
      <c r="BE214" s="56" t="s"/>
    </row>
    <row r="215" spans="57:57" ht="30" customHeight="1">
      <c r="BE215" s="56" t="s"/>
    </row>
    <row r="216" spans="57:57" ht="30" customHeight="1">
      <c r="BE216" s="56" t="s"/>
    </row>
    <row r="217" spans="57:57" ht="30" customHeight="1">
      <c r="BE217" s="56" t="s"/>
    </row>
    <row r="218" spans="57:57" ht="30" customHeight="1">
      <c r="BE218" s="56" t="s"/>
    </row>
    <row r="219" spans="57:57" ht="30" customHeight="1">
      <c r="BE219" s="56" t="s"/>
    </row>
    <row r="220" spans="57:57" ht="30" customHeight="1">
      <c r="BE220" s="56" t="s"/>
    </row>
    <row r="221" spans="57:57" ht="30" customHeight="1">
      <c r="BE221" s="56" t="s"/>
    </row>
    <row r="222" spans="57:57" ht="30" customHeight="1">
      <c r="BE222" s="56" t="s"/>
    </row>
    <row r="223" spans="57:57" ht="30" customHeight="1">
      <c r="BE223" s="56" t="s"/>
    </row>
    <row r="224" spans="57:57" ht="30" customHeight="1">
      <c r="BE224" s="56" t="s"/>
    </row>
    <row r="225" spans="57:57" ht="30" customHeight="1">
      <c r="BE225" s="56" t="s"/>
    </row>
    <row r="226" spans="57:57" ht="30" customHeight="1">
      <c r="BE226" s="56" t="s"/>
    </row>
    <row r="227" spans="57:57" ht="30" customHeight="1">
      <c r="BE227" s="56" t="s"/>
    </row>
    <row r="228" spans="57:57" ht="30" customHeight="1">
      <c r="BE228" s="56" t="s"/>
    </row>
    <row r="229" spans="57:57" ht="30" customHeight="1">
      <c r="BE229" s="56" t="s"/>
    </row>
    <row r="230" spans="57:57" ht="30" customHeight="1">
      <c r="BE230" s="56" t="s"/>
    </row>
    <row r="231" spans="57:57" ht="30" customHeight="1">
      <c r="BE231" s="56" t="s"/>
    </row>
    <row r="232" spans="57:57" ht="30" customHeight="1">
      <c r="BE232" s="56" t="s"/>
    </row>
    <row r="233" spans="57:57" ht="30" customHeight="1">
      <c r="BE233" s="56" t="s"/>
    </row>
    <row r="234" spans="57:57" ht="30" customHeight="1">
      <c r="BE234" s="56" t="s"/>
    </row>
    <row r="235" spans="57:57" ht="30" customHeight="1">
      <c r="BE235" s="56" t="s"/>
    </row>
    <row r="236" spans="57:57" ht="30" customHeight="1">
      <c r="BE236" s="56" t="s"/>
    </row>
    <row r="237" spans="57:57" ht="30" customHeight="1">
      <c r="BE237" s="56" t="s"/>
    </row>
    <row r="238" spans="57:57" ht="30" customHeight="1">
      <c r="BE238" s="56" t="s"/>
    </row>
    <row r="239" spans="57:57" ht="30" customHeight="1">
      <c r="BE239" s="56" t="s"/>
    </row>
    <row r="240" spans="57:57" ht="30" customHeight="1">
      <c r="BE240" s="56" t="s"/>
    </row>
    <row r="241" spans="57:57" ht="30" customHeight="1">
      <c r="BE241" s="56" t="s"/>
    </row>
    <row r="242" spans="57:57" ht="30" customHeight="1">
      <c r="BE242" s="56" t="s"/>
    </row>
    <row r="243" spans="57:57" ht="30" customHeight="1">
      <c r="BE243" s="56" t="s"/>
    </row>
    <row r="244" spans="57:57" ht="30" customHeight="1">
      <c r="BE244" s="56" t="s"/>
    </row>
    <row r="245" spans="57:57" ht="30" customHeight="1">
      <c r="BE245" s="56" t="s"/>
    </row>
    <row r="246" spans="57:57" ht="30" customHeight="1">
      <c r="BE246" s="56" t="s"/>
    </row>
    <row r="247" spans="57:57" ht="30" customHeight="1">
      <c r="BE247" s="56" t="s"/>
    </row>
    <row r="248" spans="57:57" ht="30" customHeight="1">
      <c r="BE248" s="56" t="s"/>
    </row>
    <row r="249" spans="57:57" ht="30" customHeight="1">
      <c r="BE249" s="56" t="s"/>
    </row>
    <row r="250" spans="57:57" ht="30" customHeight="1">
      <c r="BE250" s="56" t="s"/>
    </row>
    <row r="251" spans="57:57" ht="30" customHeight="1">
      <c r="BE251" s="56" t="s"/>
    </row>
    <row r="252" spans="57:57" ht="30" customHeight="1">
      <c r="BE252" s="56" t="s"/>
    </row>
    <row r="253" spans="57:57" ht="30" customHeight="1">
      <c r="BE253" s="56" t="s"/>
    </row>
    <row r="254" spans="57:57" ht="30" customHeight="1">
      <c r="BE254" s="56" t="s"/>
    </row>
    <row r="255" spans="57:57" ht="30" customHeight="1">
      <c r="BE255" s="56" t="s"/>
    </row>
    <row r="256" spans="57:57" ht="30" customHeight="1">
      <c r="BE256" s="56" t="s"/>
    </row>
    <row r="257" spans="57:57" ht="30" customHeight="1">
      <c r="BE257" s="56" t="s"/>
    </row>
    <row r="258" spans="57:57" ht="30" customHeight="1">
      <c r="BE258" s="56" t="s"/>
    </row>
    <row r="259" spans="57:57" ht="30" customHeight="1">
      <c r="BE259" s="56" t="s"/>
    </row>
    <row r="260" spans="57:57" ht="30" customHeight="1">
      <c r="BE260" s="56" t="s"/>
    </row>
    <row r="261" spans="57:57" ht="30" customHeight="1">
      <c r="BE261" s="56" t="s"/>
    </row>
    <row r="262" spans="57:57" ht="30" customHeight="1">
      <c r="BE262" s="56" t="s"/>
    </row>
    <row r="263" spans="57:57" ht="30" customHeight="1">
      <c r="BE263" s="56" t="s"/>
    </row>
    <row r="264" spans="57:57" ht="30" customHeight="1">
      <c r="BE264" s="56" t="s"/>
    </row>
    <row r="265" spans="57:57" ht="30" customHeight="1">
      <c r="BE265" s="56" t="s"/>
    </row>
    <row r="266" spans="57:57" ht="30" customHeight="1">
      <c r="BE266" s="56" t="s"/>
    </row>
    <row r="267" spans="57:57" ht="30" customHeight="1">
      <c r="BE267" s="56" t="s"/>
    </row>
    <row r="268" spans="57:57" ht="30" customHeight="1">
      <c r="BE268" s="56" t="s"/>
    </row>
    <row r="269" spans="57:57" ht="30" customHeight="1">
      <c r="BE269" s="56" t="s"/>
    </row>
    <row r="270" spans="57:57" ht="30" customHeight="1">
      <c r="BE270" s="56" t="s"/>
    </row>
    <row r="271" spans="57:57" ht="30" customHeight="1">
      <c r="BE271" s="56" t="s"/>
    </row>
    <row r="272" spans="57:57" ht="30" customHeight="1">
      <c r="BE272" s="56" t="s"/>
    </row>
    <row r="273" spans="57:57" ht="30" customHeight="1">
      <c r="BE273" s="56" t="s"/>
    </row>
    <row r="274" spans="57:57" ht="30" customHeight="1">
      <c r="BE274" s="56" t="s"/>
    </row>
    <row r="275" spans="57:57" ht="30" customHeight="1">
      <c r="BE275" s="56" t="s"/>
    </row>
    <row r="276" spans="57:57" ht="30" customHeight="1">
      <c r="BE276" s="56" t="s"/>
    </row>
    <row r="277" spans="57:57" ht="30" customHeight="1">
      <c r="BE277" s="56" t="s"/>
    </row>
    <row r="278" spans="57:57" ht="30" customHeight="1">
      <c r="BE278" s="56" t="s"/>
    </row>
    <row r="279" spans="57:57" ht="30" customHeight="1">
      <c r="BE279" s="56" t="s"/>
    </row>
    <row r="280" spans="57:57" ht="30" customHeight="1">
      <c r="BE280" s="56" t="s"/>
    </row>
    <row r="281" spans="57:57" ht="30" customHeight="1">
      <c r="BE281" s="56" t="s"/>
    </row>
    <row r="282" spans="57:57" ht="30" customHeight="1">
      <c r="BE282" s="56" t="s"/>
    </row>
    <row r="283" spans="57:57" ht="30" customHeight="1">
      <c r="BE283" s="56" t="s"/>
    </row>
    <row r="284" spans="57:57" ht="30" customHeight="1">
      <c r="BE284" s="56" t="s"/>
    </row>
    <row r="285" spans="57:57" ht="30" customHeight="1">
      <c r="BE285" s="56" t="s"/>
    </row>
    <row r="286" spans="57:57" ht="30" customHeight="1">
      <c r="BE286" s="56" t="s"/>
    </row>
    <row r="287" spans="57:57" ht="30" customHeight="1">
      <c r="BE287" s="56" t="s"/>
    </row>
    <row r="288" spans="57:57" ht="30" customHeight="1">
      <c r="BE288" s="56" t="s"/>
    </row>
    <row r="289" spans="57:57" ht="30" customHeight="1">
      <c r="BE289" s="56" t="s"/>
    </row>
    <row r="290" spans="57:57" ht="30" customHeight="1">
      <c r="BE290" s="56" t="s"/>
    </row>
    <row r="291" spans="57:57" ht="30" customHeight="1">
      <c r="BE291" s="56" t="s"/>
    </row>
    <row r="292" spans="57:57" ht="30" customHeight="1">
      <c r="BE292" s="56" t="s"/>
    </row>
    <row r="293" spans="57:57" ht="30" customHeight="1">
      <c r="BE293" s="56" t="s"/>
    </row>
    <row r="294" spans="57:57" ht="30" customHeight="1">
      <c r="BE294" s="56" t="s"/>
    </row>
    <row r="295" spans="57:57" ht="30" customHeight="1">
      <c r="BE295" s="56" t="s"/>
    </row>
  </sheetData>
  <mergeCells count="2">
    <mergeCell ref="F2:Z2"/>
    <mergeCell ref="AA2:BE2"/>
  </mergeCells>
  <dataValidations>
    <dataValidation type="list" errorStyle="stop" allowBlank="1" showDropDown="0" showInputMessage="1" showErrorMessage="1" prompt="" sqref="G4:G7">
      <formula1>"44.7,8.8,-15.4,-38.1,"</formula1>
    </dataValidation>
    <dataValidation type="list" errorStyle="stop" allowBlank="1" showDropDown="0" showInputMessage="1" showErrorMessage="1" prompt="" sqref="H4:H7">
      <formula1>"54.2,21.9,-23.3,-52.8,"</formula1>
    </dataValidation>
    <dataValidation type="list" errorStyle="stop" allowBlank="1" showDropDown="0" showInputMessage="1" showErrorMessage="1" prompt="" sqref="I4:I7">
      <formula1>"38.3,8.8,-13.4,-33.7,"</formula1>
    </dataValidation>
    <dataValidation type="list" errorStyle="stop" allowBlank="1" showDropDown="0" showInputMessage="1" showErrorMessage="1" prompt="" sqref="J4:J7">
      <formula1>"48.6,5.5,-16.3,-37.8,"</formula1>
    </dataValidation>
    <dataValidation type="list" errorStyle="stop" allowBlank="1" showDropDown="0" showInputMessage="1" showErrorMessage="1" prompt="" sqref="K4:K7">
      <formula1>"60.8,-18.7,-50.1,8,"</formula1>
    </dataValidation>
    <dataValidation type="list" errorStyle="stop" allowBlank="1" showDropDown="0" showInputMessage="1" showErrorMessage="1" prompt="" sqref="L4:L7">
      <formula1>"59,10.9,-18.4,-51.5,"</formula1>
    </dataValidation>
    <dataValidation type="list" errorStyle="stop" allowBlank="1" showDropDown="0" showInputMessage="1" showErrorMessage="1" prompt="" sqref="M4:M7">
      <formula1>"44.4,16.5,-20.3,-40.6,"</formula1>
    </dataValidation>
    <dataValidation type="list" errorStyle="stop" allowBlank="1" showDropDown="0" showInputMessage="1" showErrorMessage="1" prompt="" sqref="N4:N7">
      <formula1>"68.3,3.9,-16.1,-56.1,"</formula1>
    </dataValidation>
    <dataValidation type="list" errorStyle="stop" allowBlank="1" showDropDown="0" showInputMessage="1" showErrorMessage="1" prompt="" sqref="O4:O7">
      <formula1>"34.5,13.9,-11.7,-36.7,"</formula1>
    </dataValidation>
    <dataValidation type="list" errorStyle="stop" allowBlank="1" showDropDown="0" showInputMessage="1" showErrorMessage="1" prompt="" sqref="P4:P7">
      <formula1>"49,16,-14.4,-50.6,"</formula1>
    </dataValidation>
    <dataValidation type="list" errorStyle="stop" allowBlank="1" showDropDown="0" showInputMessage="1" showErrorMessage="1" prompt="" sqref="Q4:Q7">
      <formula1>"65.2,7.9,-16.1,-57,"</formula1>
    </dataValidation>
    <dataValidation type="list" errorStyle="stop" allowBlank="1" showDropDown="0" showInputMessage="1" showErrorMessage="1" prompt="" sqref="R4:R7">
      <formula1>"58.6,8.5,-19.1,-48,"</formula1>
    </dataValidation>
    <dataValidation type="list" errorStyle="stop" allowBlank="1" showDropDown="0" showInputMessage="1" showErrorMessage="1" prompt="" sqref="S4:S7">
      <formula1>"62.8,10,-10,-62.8,"</formula1>
    </dataValidation>
    <dataValidation type="list" errorStyle="stop" allowBlank="1" showDropDown="0" showInputMessage="1" showErrorMessage="1" prompt="" sqref="T4:T7">
      <formula1>"65.7,4.6,-19.4,-50.9,"</formula1>
    </dataValidation>
    <dataValidation type="list" errorStyle="stop" allowBlank="1" showDropDown="0" showInputMessage="1" showErrorMessage="1" prompt="" sqref="U4:U7">
      <formula1>"44.8,14.7,-9.4,-50.1,"</formula1>
    </dataValidation>
    <dataValidation type="list" errorStyle="stop" allowBlank="1" showDropDown="0" showInputMessage="1" showErrorMessage="1" prompt="" sqref="V4:V7">
      <formula1>"40.3,19.1,-2.1,-57.3,"</formula1>
    </dataValidation>
    <dataValidation type="list" errorStyle="stop" allowBlank="1" showDropDown="0" showInputMessage="1" showErrorMessage="1" prompt="" sqref="W4:W7">
      <formula1>"47,8.7,-12.3,-43.4,"</formula1>
    </dataValidation>
    <dataValidation type="list" errorStyle="stop" allowBlank="1" showDropDown="0" showInputMessage="1" showErrorMessage="1" prompt="" sqref="X4:X7">
      <formula1>"56.4,22.8,-28.1,-51.1,"</formula1>
    </dataValidation>
    <dataValidation type="list" errorStyle="stop" allowBlank="1" showDropDown="0" showInputMessage="1" showErrorMessage="1" prompt="" sqref="Y4:Y7">
      <formula1>"49.5,-21,-43.5,15,"</formula1>
    </dataValidation>
    <dataValidation type="list" errorStyle="stop" allowBlank="1" showDropDown="0" showInputMessage="1" showErrorMessage="1" prompt="" sqref="Z4:Z7">
      <formula1>"40.5,16.2,-12.2,-44.5,"</formula1>
    </dataValidation>
    <dataValidation type="list" errorStyle="stop" allowBlank="1" showDropDown="0" showInputMessage="1" showErrorMessage="1" prompt="" sqref="AA4:AA7">
      <formula1>"39.6,12.6,-15.8,-36.4,"</formula1>
    </dataValidation>
    <dataValidation type="list" errorStyle="stop" allowBlank="1" showDropDown="0" showInputMessage="1" showErrorMessage="1" prompt="" sqref="AB4:AB7">
      <formula1>"14.8,-12.1,-39.7,37,"</formula1>
    </dataValidation>
    <dataValidation type="list" errorStyle="stop" allowBlank="1" showDropDown="0" showInputMessage="1" showErrorMessage="1" prompt="" sqref="AC4:AC7">
      <formula1>"49.6,14.7,-16.8,-47.5,"</formula1>
    </dataValidation>
    <dataValidation type="list" errorStyle="stop" allowBlank="1" showDropDown="0" showInputMessage="1" showErrorMessage="1" prompt="" sqref="AD4:AD7">
      <formula1>"44.3,7.1,-13.9,-37.5,"</formula1>
    </dataValidation>
    <dataValidation type="list" errorStyle="stop" allowBlank="1" showDropDown="0" showInputMessage="1" showErrorMessage="1" prompt="" sqref="AE4:AE7">
      <formula1>"42.8,13.2,-12.6,-38.4,"</formula1>
    </dataValidation>
    <dataValidation type="list" errorStyle="stop" allowBlank="1" showDropDown="0" showInputMessage="1" showErrorMessage="1" prompt="" sqref="AF4:AF7">
      <formula1>"53.6,17.7,-15.8,-55.5,"</formula1>
    </dataValidation>
    <dataValidation type="list" errorStyle="stop" allowBlank="1" showDropDown="0" showInputMessage="1" showErrorMessage="1" prompt="" sqref="AG4:AG7">
      <formula1>"39.8,10.5,-13.5,-36.8,"</formula1>
    </dataValidation>
    <dataValidation type="list" errorStyle="stop" allowBlank="1" showDropDown="0" showInputMessage="1" showErrorMessage="1" prompt="" sqref="AH4:AH7">
      <formula1>"51.5,15.6,-18.9,-48.2,"</formula1>
    </dataValidation>
    <dataValidation type="list" errorStyle="stop" allowBlank="1" showDropDown="0" showInputMessage="1" showErrorMessage="1" prompt="" sqref="AI4:AI7">
      <formula1>"20.3,50.6,-51,-19.9,"</formula1>
    </dataValidation>
  </dataValidation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2026-08-27T14:37:19Z</dcterms:created>
  <dcterms:modified xsi:type="dcterms:W3CDTF">2026-08-27T14:37:19Z</dcterms:modified>
</cp:coreProperties>
</file>